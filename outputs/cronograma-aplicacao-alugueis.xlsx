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d8065410d14d0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ronograma" sheetId="1" r:id="R7cefa4af7371430e"/>
    <x:sheet xmlns:r="http://schemas.openxmlformats.org/officeDocument/2006/relationships" name="Resumo" sheetId="2" r:id="Rf16a8bf1dc344501"/>
    <x:sheet xmlns:r="http://schemas.openxmlformats.org/officeDocument/2006/relationships" name="Riscos" sheetId="3" r:id="R0b8dfad322e4491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"/>
    <x:numFmt numFmtId="202" formatCode="dd/mm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548235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</x:fills>
  <x:borders count="14">
    <x:border/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BFBFBF"/>
      </x:left>
      <x:right style="thin">
        <x:color rgb="FFE7E6E6"/>
      </x:right>
      <x:top style="thin">
        <x:color rgb="FFBFBFBF"/>
      </x:top>
      <x:bottom style="thin">
        <x:color rgb="FFE7E6E6"/>
      </x:bottom>
    </x:border>
    <x:border>
      <x:left style="thin">
        <x:color rgb="FFE7E6E6"/>
      </x:left>
      <x:right style="thin">
        <x:color rgb="FFE7E6E6"/>
      </x:right>
      <x:top style="thin">
        <x:color rgb="FFBFBFBF"/>
      </x:top>
      <x:bottom style="thin">
        <x:color rgb="FFE7E6E6"/>
      </x:bottom>
    </x:border>
    <x:border>
      <x:left style="thin">
        <x:color rgb="FFE7E6E6"/>
      </x:left>
      <x:right style="thin">
        <x:color rgb="FFBFBFBF"/>
      </x:right>
      <x:top style="thin">
        <x:color rgb="FFBFBFBF"/>
      </x:top>
      <x:bottom style="thin">
        <x:color rgb="FFE7E6E6"/>
      </x:bottom>
    </x:border>
    <x:border>
      <x:left style="thin">
        <x:color rgb="FFBFBFBF"/>
      </x:left>
      <x:right style="thin">
        <x:color rgb="FFE7E6E6"/>
      </x:right>
      <x:top style="thin">
        <x:color rgb="FFE7E6E6"/>
      </x:top>
      <x:bottom style="thin">
        <x:color rgb="FFE7E6E6"/>
      </x:bottom>
    </x:border>
    <x:border>
      <x:left style="thin">
        <x:color rgb="FFE7E6E6"/>
      </x:left>
      <x:right style="thin">
        <x:color rgb="FFE7E6E6"/>
      </x:right>
      <x:top style="thin">
        <x:color rgb="FFE7E6E6"/>
      </x:top>
      <x:bottom style="thin">
        <x:color rgb="FFE7E6E6"/>
      </x:bottom>
    </x:border>
    <x:border>
      <x:left style="thin">
        <x:color rgb="FFE7E6E6"/>
      </x:left>
      <x:right style="thin">
        <x:color rgb="FFBFBFBF"/>
      </x:right>
      <x:top style="thin">
        <x:color rgb="FFE7E6E6"/>
      </x:top>
      <x:bottom style="thin">
        <x:color rgb="FFE7E6E6"/>
      </x:bottom>
    </x:border>
    <x:border>
      <x:left style="thin">
        <x:color rgb="FFBFBFBF"/>
      </x:left>
      <x:right style="thin">
        <x:color rgb="FFE7E6E6"/>
      </x:right>
      <x:top style="thin">
        <x:color rgb="FFE7E6E6"/>
      </x:top>
      <x:bottom style="thin">
        <x:color rgb="FFBFBFBF"/>
      </x:bottom>
    </x:border>
    <x:border>
      <x:left style="thin">
        <x:color rgb="FFE7E6E6"/>
      </x:left>
      <x:right style="thin">
        <x:color rgb="FFE7E6E6"/>
      </x:right>
      <x:top style="thin">
        <x:color rgb="FFE7E6E6"/>
      </x:top>
      <x:bottom style="thin">
        <x:color rgb="FFBFBFBF"/>
      </x:bottom>
    </x:border>
    <x:border>
      <x:left style="thin">
        <x:color rgb="FFE7E6E6"/>
      </x:left>
      <x:right style="thin">
        <x:color rgb="FFBFBFBF"/>
      </x:right>
      <x:top style="thin">
        <x:color rgb="FFE7E6E6"/>
      </x:top>
      <x:bottom style="thin">
        <x:color rgb="FFBFBFBF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</x:borders>
  <x:cellStyleXfs count="1">
    <x:xf numFmtId="0" fontId="0" fillId="0" borderId="0"/>
  </x:cellStyleXfs>
  <x:cellXfs count="7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200" fontId="0" fillId="0" borderId="11" xfId="0" applyNumberFormat="1" applyFont="1" applyFill="1" applyBorder="1" applyAlignment="1">
      <x:alignment vertical="top" wrapText="1"/>
    </x:xf>
    <x:xf numFmtId="201" fontId="0" fillId="0" borderId="5" xfId="0" applyNumberFormat="1" applyFont="1" applyFill="1" applyBorder="1" applyAlignment="1">
      <x:alignment vertical="top" wrapText="1"/>
    </x:xf>
    <x:xf numFmtId="201" fontId="0" fillId="0" borderId="8" xfId="0" applyNumberFormat="1" applyFont="1" applyFill="1" applyBorder="1" applyAlignment="1">
      <x:alignment vertical="top" wrapText="1"/>
    </x:xf>
    <x:xf numFmtId="201" fontId="0" fillId="0" borderId="11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202" fontId="0" fillId="0" borderId="5" xfId="0" applyNumberFormat="1" applyFont="1" applyFill="1" applyBorder="1"/>
    <x:xf numFmtId="202" fontId="0" fillId="0" borderId="6" xfId="0" applyNumberFormat="1" applyFont="1" applyFill="1" applyBorder="1"/>
    <x:xf numFmtId="202" fontId="0" fillId="0" borderId="5" xfId="0" applyNumberFormat="1" applyFont="1" applyFill="1" applyBorder="1" applyAlignment="1">
      <x:alignment wrapText="1"/>
    </x:xf>
    <x:xf numFmtId="202" fontId="0" fillId="0" borderId="6" xfId="0" applyNumberFormat="1" applyFont="1" applyFill="1" applyBorder="1" applyAlignment="1">
      <x:alignment wrapText="1"/>
    </x:xf>
    <x:xf numFmtId="202" fontId="0" fillId="0" borderId="5" xfId="0" applyNumberFormat="1" applyFont="1" applyFill="1" applyBorder="1" applyAlignment="1">
      <x:alignment vertical="top" wrapText="1"/>
    </x:xf>
    <x:xf numFmtId="202" fontId="0" fillId="0" borderId="6" xfId="0" applyNumberFormat="1" applyFont="1" applyFill="1" applyBorder="1" applyAlignment="1">
      <x:alignment vertical="top" wrapText="1"/>
    </x:xf>
    <x:xf numFmtId="0" fontId="0" fillId="4" borderId="8" xfId="0" applyNumberFormat="1" applyFont="1" applyFill="1" applyBorder="1" applyAlignment="1">
      <x:alignment vertical="top" wrapText="1"/>
    </x:xf>
    <x:xf numFmtId="0" fontId="0" fillId="4" borderId="9" xfId="0" applyNumberFormat="1" applyFont="1" applyFill="1" applyBorder="1" applyAlignment="1">
      <x:alignment vertical="top" wrapText="1"/>
    </x:xf>
    <x:xf numFmtId="0" fontId="0" fillId="4" borderId="11" xfId="0" applyNumberFormat="1" applyFont="1" applyFill="1" applyBorder="1" applyAlignment="1">
      <x:alignment vertical="top" wrapText="1"/>
    </x:xf>
    <x:xf numFmtId="0" fontId="0" fillId="4" borderId="12" xfId="0" applyNumberFormat="1" applyFont="1" applyFill="1" applyBorder="1" applyAlignment="1">
      <x:alignment vertical="top" wrapText="1"/>
    </x:xf>
    <x:xf numFmtId="0" fontId="3" fillId="4" borderId="8" xfId="0" applyNumberFormat="1" applyFont="1" applyFill="1" applyBorder="1" applyAlignment="1">
      <x:alignment vertical="top" wrapText="1"/>
    </x:xf>
    <x:xf numFmtId="0" fontId="3" fillId="4" borderId="9" xfId="0" applyNumberFormat="1" applyFont="1" applyFill="1" applyBorder="1" applyAlignment="1">
      <x:alignment vertical="top" wrapText="1"/>
    </x:xf>
    <x:xf numFmtId="0" fontId="3" fillId="4" borderId="11" xfId="0" applyNumberFormat="1" applyFont="1" applyFill="1" applyBorder="1" applyAlignment="1">
      <x:alignment vertical="top" wrapText="1"/>
    </x:xf>
    <x:xf numFmtId="0" fontId="3" fillId="4" borderId="12" xfId="0" applyNumberFormat="1" applyFont="1" applyFill="1" applyBorder="1" applyAlignment="1">
      <x:alignment vertical="top" wrapText="1"/>
    </x:xf>
    <x:xf numFmtId="0" fontId="3" fillId="4" borderId="13" xfId="0" applyNumberFormat="1" applyFont="1" applyFill="1" applyBorder="1" applyAlignment="1">
      <x:alignment vertical="top" wrapText="1"/>
    </x:xf>
    <x:xf numFmtId="0" fontId="3" fillId="4" borderId="13" xfId="0" applyNumberFormat="1" applyFont="1" applyFill="1" applyBorder="1" applyAlignment="1">
      <x:alignment horizontal="center" vertical="top" wrapText="1"/>
    </x:xf>
    <x:xf numFmtId="0" fontId="3" fillId="4" borderId="13" xfId="0" applyNumberFormat="1" applyFont="1" applyFill="1" applyBorder="1" applyAlignment="1">
      <x:alignment horizontal="center" vertical="center" wrapText="1"/>
    </x:xf>
    <x:xf numFmtId="200" fontId="0" fillId="0" borderId="12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c338fbc0e6405b" /><Relationship Type="http://schemas.openxmlformats.org/officeDocument/2006/relationships/theme" Target="/xl/theme/theme1.xml" Id="R53bd15b1c326478c" /><Relationship Type="http://schemas.openxmlformats.org/officeDocument/2006/relationships/sharedStrings" Target="/xl/sharedStrings.xml" Id="Re61c742ee29640f1" /><Relationship Type="http://schemas.openxmlformats.org/officeDocument/2006/relationships/worksheet" Target="/xl/worksheets/sheet1.xml" Id="R7cefa4af7371430e" /><Relationship Type="http://schemas.openxmlformats.org/officeDocument/2006/relationships/worksheet" Target="/xl/worksheets/sheet2.xml" Id="Rf16a8bf1dc344501" /><Relationship Type="http://schemas.openxmlformats.org/officeDocument/2006/relationships/worksheet" Target="/xl/worksheets/sheet3.xml" Id="R0b8dfad322e449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.380000114440918" hidden="0" customWidth="1"/>
    <x:col min="2" max="2" width="24" hidden="0" customWidth="1"/>
    <x:col min="3" max="3" width="45" hidden="0" customWidth="1"/>
    <x:col min="4" max="4" width="9.130000114440918" hidden="0" customWidth="1"/>
    <x:col min="5" max="5" width="9.130000114440918" hidden="0" customWidth="1"/>
    <x:col min="6" max="6" width="7.380000114440918" hidden="0" customWidth="1"/>
    <x:col min="7" max="7" width="8.5" hidden="0" customWidth="1"/>
    <x:col min="8" max="8" width="24" hidden="0" customWidth="1"/>
    <x:col min="9" max="9" width="11.880000114440918" hidden="0" customWidth="1"/>
    <x:col min="10" max="10" width="20" hidden="0" customWidth="1"/>
    <x:col min="11" max="11" width="55" hidden="0" customWidth="1"/>
    <x:col min="13" max="13" width="24" hidden="0" customWidth="1"/>
    <x:col min="14" max="14" width="4" hidden="0" customWidth="1"/>
    <x:col min="15" max="15" width="4" hidden="0" customWidth="1"/>
    <x:col min="16" max="16" width="4" hidden="0" customWidth="1"/>
    <x:col min="17" max="17" width="4" hidden="0" customWidth="1"/>
    <x:col min="18" max="18" width="4" hidden="0" customWidth="1"/>
    <x:col min="19" max="19" width="4" hidden="0" customWidth="1"/>
    <x:col min="20" max="20" width="4" hidden="0" customWidth="1"/>
    <x:col min="21" max="21" width="4" hidden="0" customWidth="1"/>
    <x:col min="22" max="22" width="4" hidden="0" customWidth="1"/>
    <x:col min="23" max="23" width="4" hidden="0" customWidth="1"/>
    <x:col min="24" max="24" width="4" hidden="0" customWidth="1"/>
    <x:col min="25" max="25" width="4" hidden="0" customWidth="1"/>
    <x:col min="26" max="26" width="4" hidden="0" customWidth="1"/>
    <x:col min="27" max="27" width="4" hidden="0" customWidth="1"/>
    <x:col min="28" max="28" width="4" hidden="0" customWidth="1"/>
    <x:col min="29" max="29" width="4" hidden="0" customWidth="1"/>
    <x:col min="30" max="30" width="4" hidden="0" customWidth="1"/>
    <x:col min="31" max="31" width="4" hidden="0" customWidth="1"/>
    <x:col min="32" max="32" width="4" hidden="0" customWidth="1"/>
    <x:col min="33" max="33" width="4" hidden="0" customWidth="1"/>
    <x:col min="34" max="34" width="4" hidden="0" customWidth="1"/>
    <x:col min="35" max="35" width="4" hidden="0" customWidth="1"/>
  </x:cols>
  <x:sheetData>
    <x:row r="1" ht="30" customHeight="1">
      <x:c r="A1" s="4" t="str">
        <x:v>Cronograma de Desenvolvimento - Aplicacao de Alugueis</x:v>
      </x:c>
      <x:c r="B1" s="4" t="str">
        <x:v>Cronograma de Desenvolvimento - Aplicacao de Alugueis</x:v>
      </x:c>
      <x:c r="C1" s="4" t="str">
        <x:v>Cronograma de Desenvolvimento - Aplicacao de Alugueis</x:v>
      </x:c>
      <x:c r="D1" s="4" t="str">
        <x:v>Cronograma de Desenvolvimento - Aplicacao de Alugueis</x:v>
      </x:c>
      <x:c r="E1" s="4" t="str">
        <x:v>Cronograma de Desenvolvimento - Aplicacao de Alugueis</x:v>
      </x:c>
      <x:c r="F1" s="4" t="str">
        <x:v>Cronograma de Desenvolvimento - Aplicacao de Alugueis</x:v>
      </x:c>
      <x:c r="G1" s="4" t="str">
        <x:v>Cronograma de Desenvolvimento - Aplicacao de Alugueis</x:v>
      </x:c>
      <x:c r="H1" s="4" t="str">
        <x:v>Cronograma de Desenvolvimento - Aplicacao de Alugueis</x:v>
      </x:c>
      <x:c r="I1" s="4" t="str">
        <x:v>Cronograma de Desenvolvimento - Aplicacao de Alugueis</x:v>
      </x:c>
      <x:c r="J1" s="4" t="str">
        <x:v>Cronograma de Desenvolvimento - Aplicacao de Alugueis</x:v>
      </x:c>
      <x:c r="K1" s="4" t="str">
        <x:v>Cronograma de Desenvolvimento - Aplicacao de Alugueis</x:v>
      </x:c>
      <x:c r="L1" s="4" t="str">
        <x:v>Cronograma de Desenvolvimento - Aplicacao de Alugueis</x:v>
      </x:c>
      <x:c r="M1" s="4" t="str">
        <x:v>Cronograma de Desenvolvimento - Aplicacao de Alugueis</x:v>
      </x:c>
      <x:c r="N1" s="4" t="str">
        <x:v>Cronograma de Desenvolvimento - Aplicacao de Alugueis</x:v>
      </x:c>
      <x:c r="O1" s="4" t="str">
        <x:v>Cronograma de Desenvolvimento - Aplicacao de Alugueis</x:v>
      </x:c>
      <x:c r="P1" s="4" t="str">
        <x:v>Cronograma de Desenvolvimento - Aplicacao de Alugueis</x:v>
      </x:c>
      <x:c r="Q1" s="4" t="str">
        <x:v>Cronograma de Desenvolvimento - Aplicacao de Alugueis</x:v>
      </x:c>
      <x:c r="R1" s="4" t="str">
        <x:v>Cronograma de Desenvolvimento - Aplicacao de Alugueis</x:v>
      </x:c>
      <x:c r="S1" s="4" t="str">
        <x:v>Cronograma de Desenvolvimento - Aplicacao de Alugueis</x:v>
      </x:c>
      <x:c r="T1" s="4" t="str">
        <x:v>Cronograma de Desenvolvimento - Aplicacao de Alugueis</x:v>
      </x:c>
      <x:c r="U1" s="4" t="str">
        <x:v>Cronograma de Desenvolvimento - Aplicacao de Alugueis</x:v>
      </x:c>
      <x:c r="V1" s="4" t="str">
        <x:v>Cronograma de Desenvolvimento - Aplicacao de Alugueis</x:v>
      </x:c>
      <x:c r="W1" s="4" t="str">
        <x:v>Cronograma de Desenvolvimento - Aplicacao de Alugueis</x:v>
      </x:c>
      <x:c r="X1" s="4" t="str">
        <x:v>Cronograma de Desenvolvimento - Aplicacao de Alugueis</x:v>
      </x:c>
      <x:c r="Y1" s="4" t="str">
        <x:v>Cronograma de Desenvolvimento - Aplicacao de Alugueis</x:v>
      </x:c>
      <x:c r="Z1" s="4" t="str">
        <x:v>Cronograma de Desenvolvimento - Aplicacao de Alugueis</x:v>
      </x:c>
      <x:c r="AA1" s="4" t="str">
        <x:v>Cronograma de Desenvolvimento - Aplicacao de Alugueis</x:v>
      </x:c>
      <x:c r="AB1" s="4" t="str">
        <x:v>Cronograma de Desenvolvimento - Aplicacao de Alugueis</x:v>
      </x:c>
      <x:c r="AC1" s="4" t="str">
        <x:v>Cronograma de Desenvolvimento - Aplicacao de Alugueis</x:v>
      </x:c>
      <x:c r="AD1" s="4" t="str">
        <x:v>Cronograma de Desenvolvimento - Aplicacao de Alugueis</x:v>
      </x:c>
      <x:c r="AE1" s="4" t="str">
        <x:v>Cronograma de Desenvolvimento - Aplicacao de Alugueis</x:v>
      </x:c>
      <x:c r="AF1" s="4" t="str">
        <x:v>Cronograma de Desenvolvimento - Aplicacao de Alugueis</x:v>
      </x:c>
      <x:c r="AG1" s="4" t="str">
        <x:v>Cronograma de Desenvolvimento - Aplicacao de Alugueis</x:v>
      </x:c>
      <x:c r="AH1" s="4" t="str">
        <x:v>Cronograma de Desenvolvimento - Aplicacao de Alugueis</x:v>
      </x:c>
      <x:c r="AI1" s="4" t="str">
        <x:v>Cronograma de Desenvolvimento - Aplicacao de Alugueis</x:v>
      </x:c>
    </x:row>
    <x:row r="3">
      <x:c r="A3" s="16" t="str">
        <x:v>ID</x:v>
      </x:c>
      <x:c r="B3" s="17" t="str">
        <x:v>Fase</x:v>
      </x:c>
      <x:c r="C3" s="17" t="str">
        <x:v>Entrega principal</x:v>
      </x:c>
      <x:c r="D3" s="17" t="str">
        <x:v>Inicio</x:v>
      </x:c>
      <x:c r="E3" s="17" t="str">
        <x:v>Fim</x:v>
      </x:c>
      <x:c r="F3" s="17" t="str">
        <x:v>Semanas</x:v>
      </x:c>
      <x:c r="G3" s="17" t="str">
        <x:v>Prioridade</x:v>
      </x:c>
      <x:c r="H3" s="17" t="str">
        <x:v>Responsavel</x:v>
      </x:c>
      <x:c r="I3" s="17" t="str">
        <x:v>Status</x:v>
      </x:c>
      <x:c r="J3" s="17" t="str">
        <x:v>Dependencia</x:v>
      </x:c>
      <x:c r="K3" s="18" t="str">
        <x:v>Observacoes</x:v>
      </x:c>
      <x:c r="M3" s="16" t="str">
        <x:v>Linha do tempo semanal</x:v>
      </x:c>
      <x:c r="N3" s="17" t="str">
        <x:v>S1</x:v>
      </x:c>
      <x:c r="O3" s="17" t="str">
        <x:v>S2</x:v>
      </x:c>
      <x:c r="P3" s="17" t="str">
        <x:v>S3</x:v>
      </x:c>
      <x:c r="Q3" s="17" t="str">
        <x:v>S4</x:v>
      </x:c>
      <x:c r="R3" s="17" t="str">
        <x:v>S5</x:v>
      </x:c>
      <x:c r="S3" s="17" t="str">
        <x:v>S6</x:v>
      </x:c>
      <x:c r="T3" s="17" t="str">
        <x:v>S7</x:v>
      </x:c>
      <x:c r="U3" s="17" t="str">
        <x:v>S8</x:v>
      </x:c>
      <x:c r="V3" s="17" t="str">
        <x:v>S9</x:v>
      </x:c>
      <x:c r="W3" s="17" t="str">
        <x:v>S10</x:v>
      </x:c>
      <x:c r="X3" s="17" t="str">
        <x:v>S11</x:v>
      </x:c>
      <x:c r="Y3" s="17" t="str">
        <x:v>S12</x:v>
      </x:c>
      <x:c r="Z3" s="17" t="str">
        <x:v>S13</x:v>
      </x:c>
      <x:c r="AA3" s="17" t="str">
        <x:v>S14</x:v>
      </x:c>
      <x:c r="AB3" s="17" t="str">
        <x:v>S15</x:v>
      </x:c>
      <x:c r="AC3" s="17" t="str">
        <x:v>S16</x:v>
      </x:c>
      <x:c r="AD3" s="17" t="str">
        <x:v>S17</x:v>
      </x:c>
      <x:c r="AE3" s="17" t="str">
        <x:v>S18</x:v>
      </x:c>
      <x:c r="AF3" s="17" t="str">
        <x:v>S19</x:v>
      </x:c>
      <x:c r="AG3" s="17" t="str">
        <x:v>S20</x:v>
      </x:c>
      <x:c r="AH3" s="17" t="str">
        <x:v>S21</x:v>
      </x:c>
      <x:c r="AI3" s="18" t="str">
        <x:v>S22</x:v>
      </x:c>
    </x:row>
    <x:row r="4" ht="46" customHeight="1">
      <x:c r="A4" s="37" t="n">
        <x:v>1</x:v>
      </x:c>
      <x:c r="B4" s="38" t="str">
        <x:v>Descoberta e modelagem</x:v>
      </x:c>
      <x:c r="C4" s="38" t="str">
        <x:v>Validar regras de negocio, modelo de recebimento e escopo do MVP</x:v>
      </x:c>
      <x:c r="D4" s="46" t="n">
        <x:v>46204</x:v>
      </x:c>
      <x:c r="E4" s="46" t="n">
        <x:v>46210</x:v>
      </x:c>
      <x:c r="F4" s="49" t="n">
        <x:f>ROUNDUP((E4-D4+1)/7,0)</x:f>
        <x:v>1</x:v>
      </x:c>
      <x:c r="G4" s="38" t="str">
        <x:v>Alta</x:v>
      </x:c>
      <x:c r="H4" s="38" t="str">
        <x:v>Produto / Negocio</x:v>
      </x:c>
      <x:c r="I4" s="38" t="str">
        <x:v>Concluido</x:v>
      </x:c>
      <x:c r="J4" s="38" t="str">
        <x:v>Nenhuma</x:v>
      </x:c>
      <x:c r="K4" s="39" t="str">
        <x:v>Requisitos, MVP, entregaveis iniciais e decisao WhatsApp WAHA+n8n documentados.</x:v>
      </x:c>
      <x:c r="M4" s="37"/>
      <x:c r="N4" s="57" t="n">
        <x:v>46204</x:v>
      </x:c>
      <x:c r="O4" s="57" t="n">
        <x:v>46211</x:v>
      </x:c>
      <x:c r="P4" s="57" t="n">
        <x:v>46218</x:v>
      </x:c>
      <x:c r="Q4" s="57" t="n">
        <x:v>46225</x:v>
      </x:c>
      <x:c r="R4" s="57" t="n">
        <x:v>46232</x:v>
      </x:c>
      <x:c r="S4" s="57" t="n">
        <x:v>46239</x:v>
      </x:c>
      <x:c r="T4" s="57" t="n">
        <x:v>46246</x:v>
      </x:c>
      <x:c r="U4" s="57" t="n">
        <x:v>46253</x:v>
      </x:c>
      <x:c r="V4" s="57" t="n">
        <x:v>46260</x:v>
      </x:c>
      <x:c r="W4" s="57" t="n">
        <x:v>46267</x:v>
      </x:c>
      <x:c r="X4" s="57" t="n">
        <x:v>46274</x:v>
      </x:c>
      <x:c r="Y4" s="57" t="n">
        <x:v>46281</x:v>
      </x:c>
      <x:c r="Z4" s="57" t="n">
        <x:v>46288</x:v>
      </x:c>
      <x:c r="AA4" s="57" t="n">
        <x:v>46295</x:v>
      </x:c>
      <x:c r="AB4" s="57" t="n">
        <x:v>46302</x:v>
      </x:c>
      <x:c r="AC4" s="57" t="n">
        <x:v>46309</x:v>
      </x:c>
      <x:c r="AD4" s="57" t="n">
        <x:v>46316</x:v>
      </x:c>
      <x:c r="AE4" s="57" t="n">
        <x:v>46323</x:v>
      </x:c>
      <x:c r="AF4" s="57" t="n">
        <x:v>46330</x:v>
      </x:c>
      <x:c r="AG4" s="57" t="n">
        <x:v>46337</x:v>
      </x:c>
      <x:c r="AH4" s="57" t="n">
        <x:v>46344</x:v>
      </x:c>
      <x:c r="AI4" s="58" t="n">
        <x:v>46351</x:v>
      </x:c>
    </x:row>
    <x:row r="5" ht="46" customHeight="1">
      <x:c r="A5" s="40" t="n">
        <x:v>2</x:v>
      </x:c>
      <x:c r="B5" s="41" t="str">
        <x:v>Arquitetura e base tecnica</x:v>
      </x:c>
      <x:c r="C5" s="41" t="str">
        <x:v>Criar monolito, banco, autenticacao base, filas e ambientes</x:v>
      </x:c>
      <x:c r="D5" s="47" t="n">
        <x:v>46211</x:v>
      </x:c>
      <x:c r="E5" s="47" t="n">
        <x:v>46217</x:v>
      </x:c>
      <x:c r="F5" s="50" t="n">
        <x:f>ROUNDUP((E5-D5+1)/7,0)</x:f>
        <x:v>1</x:v>
      </x:c>
      <x:c r="G5" s="41" t="str">
        <x:v>Alta</x:v>
      </x:c>
      <x:c r="H5" s="41" t="str">
        <x:v>Desenvolvimento</x:v>
      </x:c>
      <x:c r="I5" s="41" t="str">
        <x:v>Em andamento</x:v>
      </x:c>
      <x:c r="J5" s="41" t="str">
        <x:v>Fase 1</x:v>
      </x:c>
      <x:c r="K5" s="42" t="str">
        <x:v>Monolito Vinext/Next criado com D1 local, schema, migracao e APIs internas. Autenticacao ainda pendente.</x:v>
      </x:c>
      <x:c r="M5" s="40" t="str">
        <x:v>Descoberta e modelagem</x:v>
      </x:c>
      <x:c r="N5" s="69" t="str">
        <x:f>IF(AND(N$4&gt;=$D4,N$4&lt;=$E4),"x","")</x:f>
        <x:v>x</x:v>
      </x:c>
      <x:c r="O5" s="69" t="str">
        <x:f>IF(AND(O$4&gt;=$D4,O$4&lt;=$E4),"x","")</x:f>
      </x:c>
      <x:c r="P5" s="69" t="str">
        <x:f>IF(AND(P$4&gt;=$D4,P$4&lt;=$E4),"x","")</x:f>
      </x:c>
      <x:c r="Q5" s="69" t="str">
        <x:f>IF(AND(Q$4&gt;=$D4,Q$4&lt;=$E4),"x","")</x:f>
      </x:c>
      <x:c r="R5" s="69" t="str">
        <x:f>IF(AND(R$4&gt;=$D4,R$4&lt;=$E4),"x","")</x:f>
      </x:c>
      <x:c r="S5" s="69" t="str">
        <x:f>IF(AND(S$4&gt;=$D4,S$4&lt;=$E4),"x","")</x:f>
      </x:c>
      <x:c r="T5" s="69" t="str">
        <x:f>IF(AND(T$4&gt;=$D4,T$4&lt;=$E4),"x","")</x:f>
      </x:c>
      <x:c r="U5" s="69" t="str">
        <x:f>IF(AND(U$4&gt;=$D4,U$4&lt;=$E4),"x","")</x:f>
      </x:c>
      <x:c r="V5" s="69" t="str">
        <x:f>IF(AND(V$4&gt;=$D4,V$4&lt;=$E4),"x","")</x:f>
      </x:c>
      <x:c r="W5" s="69" t="str">
        <x:f>IF(AND(W$4&gt;=$D4,W$4&lt;=$E4),"x","")</x:f>
      </x:c>
      <x:c r="X5" s="69" t="str">
        <x:f>IF(AND(X$4&gt;=$D4,X$4&lt;=$E4),"x","")</x:f>
      </x:c>
      <x:c r="Y5" s="69" t="str">
        <x:f>IF(AND(Y$4&gt;=$D4,Y$4&lt;=$E4),"x","")</x:f>
      </x:c>
      <x:c r="Z5" s="69" t="str">
        <x:f>IF(AND(Z$4&gt;=$D4,Z$4&lt;=$E4),"x","")</x:f>
      </x:c>
      <x:c r="AA5" s="69" t="str">
        <x:f>IF(AND(AA$4&gt;=$D4,AA$4&lt;=$E4),"x","")</x:f>
      </x:c>
      <x:c r="AB5" s="69" t="str">
        <x:f>IF(AND(AB$4&gt;=$D4,AB$4&lt;=$E4),"x","")</x:f>
      </x:c>
      <x:c r="AC5" s="69" t="str">
        <x:f>IF(AND(AC$4&gt;=$D4,AC$4&lt;=$E4),"x","")</x:f>
      </x:c>
      <x:c r="AD5" s="69" t="str">
        <x:f>IF(AND(AD$4&gt;=$D4,AD$4&lt;=$E4),"x","")</x:f>
      </x:c>
      <x:c r="AE5" s="69" t="str">
        <x:f>IF(AND(AE$4&gt;=$D4,AE$4&lt;=$E4),"x","")</x:f>
      </x:c>
      <x:c r="AF5" s="69" t="str">
        <x:f>IF(AND(AF$4&gt;=$D4,AF$4&lt;=$E4),"x","")</x:f>
      </x:c>
      <x:c r="AG5" s="69" t="str">
        <x:f>IF(AND(AG$4&gt;=$D4,AG$4&lt;=$E4),"x","")</x:f>
      </x:c>
      <x:c r="AH5" s="69" t="str">
        <x:f>IF(AND(AH$4&gt;=$D4,AH$4&lt;=$E4),"x","")</x:f>
      </x:c>
      <x:c r="AI5" s="69" t="str">
        <x:f>IF(AND(AI$4&gt;=$D4,AI$4&lt;=$E4),"x","")</x:f>
      </x:c>
    </x:row>
    <x:row r="6" ht="46" customHeight="1">
      <x:c r="A6" s="40" t="n">
        <x:v>3</x:v>
      </x:c>
      <x:c r="B6" s="41" t="str">
        <x:v>Usuarios e permissoes</x:v>
      </x:c>
      <x:c r="C6" s="41" t="str">
        <x:v>Perfis de administrador, recebedor e inquilino</x:v>
      </x:c>
      <x:c r="D6" s="47" t="n">
        <x:v>46218</x:v>
      </x:c>
      <x:c r="E6" s="47" t="n">
        <x:v>46231</x:v>
      </x:c>
      <x:c r="F6" s="50" t="n">
        <x:f>ROUNDUP((E6-D6+1)/7,0)</x:f>
        <x:v>2</x:v>
      </x:c>
      <x:c r="G6" s="41" t="str">
        <x:v>Alta</x:v>
      </x:c>
      <x:c r="H6" s="41" t="str">
        <x:v>Desenvolvimento</x:v>
      </x:c>
      <x:c r="I6" s="41" t="str">
        <x:v>Nao iniciado</x:v>
      </x:c>
      <x:c r="J6" s="41" t="str">
        <x:v>Fase 2</x:v>
      </x:c>
      <x:c r="K6" s="42" t="str">
        <x:v>Garantir que recebedor e inquilino vejam apenas os proprios dados.</x:v>
      </x:c>
      <x:c r="M6" s="40" t="str">
        <x:v>Arquitetura e base tecnica</x:v>
      </x:c>
      <x:c r="N6" s="69" t="str">
        <x:f>IF(AND(N$4&gt;=$D5,N$4&lt;=$E5),"x","")</x:f>
      </x:c>
      <x:c r="O6" s="69" t="str">
        <x:f>IF(AND(O$4&gt;=$D5,O$4&lt;=$E5),"x","")</x:f>
        <x:v>x</x:v>
      </x:c>
      <x:c r="P6" s="69" t="str">
        <x:f>IF(AND(P$4&gt;=$D5,P$4&lt;=$E5),"x","")</x:f>
      </x:c>
      <x:c r="Q6" s="69" t="str">
        <x:f>IF(AND(Q$4&gt;=$D5,Q$4&lt;=$E5),"x","")</x:f>
      </x:c>
      <x:c r="R6" s="69" t="str">
        <x:f>IF(AND(R$4&gt;=$D5,R$4&lt;=$E5),"x","")</x:f>
      </x:c>
      <x:c r="S6" s="69" t="str">
        <x:f>IF(AND(S$4&gt;=$D5,S$4&lt;=$E5),"x","")</x:f>
      </x:c>
      <x:c r="T6" s="69" t="str">
        <x:f>IF(AND(T$4&gt;=$D5,T$4&lt;=$E5),"x","")</x:f>
      </x:c>
      <x:c r="U6" s="69" t="str">
        <x:f>IF(AND(U$4&gt;=$D5,U$4&lt;=$E5),"x","")</x:f>
      </x:c>
      <x:c r="V6" s="69" t="str">
        <x:f>IF(AND(V$4&gt;=$D5,V$4&lt;=$E5),"x","")</x:f>
      </x:c>
      <x:c r="W6" s="69" t="str">
        <x:f>IF(AND(W$4&gt;=$D5,W$4&lt;=$E5),"x","")</x:f>
      </x:c>
      <x:c r="X6" s="69" t="str">
        <x:f>IF(AND(X$4&gt;=$D5,X$4&lt;=$E5),"x","")</x:f>
      </x:c>
      <x:c r="Y6" s="69" t="str">
        <x:f>IF(AND(Y$4&gt;=$D5,Y$4&lt;=$E5),"x","")</x:f>
      </x:c>
      <x:c r="Z6" s="69" t="str">
        <x:f>IF(AND(Z$4&gt;=$D5,Z$4&lt;=$E5),"x","")</x:f>
      </x:c>
      <x:c r="AA6" s="69" t="str">
        <x:f>IF(AND(AA$4&gt;=$D5,AA$4&lt;=$E5),"x","")</x:f>
      </x:c>
      <x:c r="AB6" s="69" t="str">
        <x:f>IF(AND(AB$4&gt;=$D5,AB$4&lt;=$E5),"x","")</x:f>
      </x:c>
      <x:c r="AC6" s="69" t="str">
        <x:f>IF(AND(AC$4&gt;=$D5,AC$4&lt;=$E5),"x","")</x:f>
      </x:c>
      <x:c r="AD6" s="69" t="str">
        <x:f>IF(AND(AD$4&gt;=$D5,AD$4&lt;=$E5),"x","")</x:f>
      </x:c>
      <x:c r="AE6" s="69" t="str">
        <x:f>IF(AND(AE$4&gt;=$D5,AE$4&lt;=$E5),"x","")</x:f>
      </x:c>
      <x:c r="AF6" s="69" t="str">
        <x:f>IF(AND(AF$4&gt;=$D5,AF$4&lt;=$E5),"x","")</x:f>
      </x:c>
      <x:c r="AG6" s="69" t="str">
        <x:f>IF(AND(AG$4&gt;=$D5,AG$4&lt;=$E5),"x","")</x:f>
      </x:c>
      <x:c r="AH6" s="69" t="str">
        <x:f>IF(AND(AH$4&gt;=$D5,AH$4&lt;=$E5),"x","")</x:f>
      </x:c>
      <x:c r="AI6" s="69" t="str">
        <x:f>IF(AND(AI$4&gt;=$D5,AI$4&lt;=$E5),"x","")</x:f>
      </x:c>
    </x:row>
    <x:row r="7" ht="46" customHeight="1">
      <x:c r="A7" s="40" t="n">
        <x:v>4</x:v>
      </x:c>
      <x:c r="B7" s="41" t="str">
        <x:v>Cadastros principais</x:v>
      </x:c>
      <x:c r="C7" s="41" t="str">
        <x:v>Imoveis, inquilinos, recebedores e dados auxiliares</x:v>
      </x:c>
      <x:c r="D7" s="47" t="n">
        <x:v>46232</x:v>
      </x:c>
      <x:c r="E7" s="47" t="n">
        <x:v>46245</x:v>
      </x:c>
      <x:c r="F7" s="50" t="n">
        <x:f>ROUNDUP((E7-D7+1)/7,0)</x:f>
        <x:v>2</x:v>
      </x:c>
      <x:c r="G7" s="41" t="str">
        <x:v>Alta</x:v>
      </x:c>
      <x:c r="H7" s="41" t="str">
        <x:v>Desenvolvimento</x:v>
      </x:c>
      <x:c r="I7" s="41" t="str">
        <x:v>Em andamento</x:v>
      </x:c>
      <x:c r="J7" s="41" t="str">
        <x:v>Fase 3</x:v>
      </x:c>
      <x:c r="K7" s="42" t="str">
        <x:v>Formularios iniciais e criacao via API/D1 local prontos. Exclusao segura ampliada. Edicao completa ainda pendente.</x:v>
      </x:c>
      <x:c r="M7" s="40" t="str">
        <x:v>Usuarios e permissoes</x:v>
      </x:c>
      <x:c r="N7" s="69" t="str">
        <x:f>IF(AND(N$4&gt;=$D6,N$4&lt;=$E6),"x","")</x:f>
      </x:c>
      <x:c r="O7" s="69" t="str">
        <x:f>IF(AND(O$4&gt;=$D6,O$4&lt;=$E6),"x","")</x:f>
      </x:c>
      <x:c r="P7" s="69" t="str">
        <x:f>IF(AND(P$4&gt;=$D6,P$4&lt;=$E6),"x","")</x:f>
        <x:v>x</x:v>
      </x:c>
      <x:c r="Q7" s="69" t="str">
        <x:f>IF(AND(Q$4&gt;=$D6,Q$4&lt;=$E6),"x","")</x:f>
        <x:v>x</x:v>
      </x:c>
      <x:c r="R7" s="69" t="str">
        <x:f>IF(AND(R$4&gt;=$D6,R$4&lt;=$E6),"x","")</x:f>
      </x:c>
      <x:c r="S7" s="69" t="str">
        <x:f>IF(AND(S$4&gt;=$D6,S$4&lt;=$E6),"x","")</x:f>
      </x:c>
      <x:c r="T7" s="69" t="str">
        <x:f>IF(AND(T$4&gt;=$D6,T$4&lt;=$E6),"x","")</x:f>
      </x:c>
      <x:c r="U7" s="69" t="str">
        <x:f>IF(AND(U$4&gt;=$D6,U$4&lt;=$E6),"x","")</x:f>
      </x:c>
      <x:c r="V7" s="69" t="str">
        <x:f>IF(AND(V$4&gt;=$D6,V$4&lt;=$E6),"x","")</x:f>
      </x:c>
      <x:c r="W7" s="69" t="str">
        <x:f>IF(AND(W$4&gt;=$D6,W$4&lt;=$E6),"x","")</x:f>
      </x:c>
      <x:c r="X7" s="69" t="str">
        <x:f>IF(AND(X$4&gt;=$D6,X$4&lt;=$E6),"x","")</x:f>
      </x:c>
      <x:c r="Y7" s="69" t="str">
        <x:f>IF(AND(Y$4&gt;=$D6,Y$4&lt;=$E6),"x","")</x:f>
      </x:c>
      <x:c r="Z7" s="69" t="str">
        <x:f>IF(AND(Z$4&gt;=$D6,Z$4&lt;=$E6),"x","")</x:f>
      </x:c>
      <x:c r="AA7" s="69" t="str">
        <x:f>IF(AND(AA$4&gt;=$D6,AA$4&lt;=$E6),"x","")</x:f>
      </x:c>
      <x:c r="AB7" s="69" t="str">
        <x:f>IF(AND(AB$4&gt;=$D6,AB$4&lt;=$E6),"x","")</x:f>
      </x:c>
      <x:c r="AC7" s="69" t="str">
        <x:f>IF(AND(AC$4&gt;=$D6,AC$4&lt;=$E6),"x","")</x:f>
      </x:c>
      <x:c r="AD7" s="69" t="str">
        <x:f>IF(AND(AD$4&gt;=$D6,AD$4&lt;=$E6),"x","")</x:f>
      </x:c>
      <x:c r="AE7" s="69" t="str">
        <x:f>IF(AND(AE$4&gt;=$D6,AE$4&lt;=$E6),"x","")</x:f>
      </x:c>
      <x:c r="AF7" s="69" t="str">
        <x:f>IF(AND(AF$4&gt;=$D6,AF$4&lt;=$E6),"x","")</x:f>
      </x:c>
      <x:c r="AG7" s="69" t="str">
        <x:f>IF(AND(AG$4&gt;=$D6,AG$4&lt;=$E6),"x","")</x:f>
      </x:c>
      <x:c r="AH7" s="69" t="str">
        <x:f>IF(AND(AH$4&gt;=$D6,AH$4&lt;=$E6),"x","")</x:f>
      </x:c>
      <x:c r="AI7" s="69" t="str">
        <x:f>IF(AND(AI$4&gt;=$D6,AI$4&lt;=$E6),"x","")</x:f>
      </x:c>
    </x:row>
    <x:row r="8" ht="46" customHeight="1">
      <x:c r="A8" s="40" t="n">
        <x:v>5</x:v>
      </x:c>
      <x:c r="B8" s="41" t="str">
        <x:v>Contratos</x:v>
      </x:c>
      <x:c r="C8" s="41" t="str">
        <x:v>Cadastro de contratos, vencimento, recebedor, valores e anexos</x:v>
      </x:c>
      <x:c r="D8" s="47" t="n">
        <x:v>46246</x:v>
      </x:c>
      <x:c r="E8" s="47" t="n">
        <x:v>46259</x:v>
      </x:c>
      <x:c r="F8" s="50" t="n">
        <x:f>ROUNDUP((E8-D8+1)/7,0)</x:f>
        <x:v>2</x:v>
      </x:c>
      <x:c r="G8" s="41" t="str">
        <x:v>Alta</x:v>
      </x:c>
      <x:c r="H8" s="41" t="str">
        <x:v>Desenvolvimento</x:v>
      </x:c>
      <x:c r="I8" s="41" t="str">
        <x:v>Em andamento</x:v>
      </x:c>
      <x:c r="J8" s="41" t="str">
        <x:v>Fase 4</x:v>
      </x:c>
      <x:c r="K8" s="42" t="str">
        <x:v>Cadastro inicial de contrato salva recebedor no D1. Anexos, renovacao e encerramento ainda pendentes.</x:v>
      </x:c>
      <x:c r="M8" s="40" t="str">
        <x:v>Cadastros principais</x:v>
      </x:c>
      <x:c r="N8" s="69" t="str">
        <x:f>IF(AND(N$4&gt;=$D7,N$4&lt;=$E7),"x","")</x:f>
      </x:c>
      <x:c r="O8" s="69" t="str">
        <x:f>IF(AND(O$4&gt;=$D7,O$4&lt;=$E7),"x","")</x:f>
      </x:c>
      <x:c r="P8" s="69" t="str">
        <x:f>IF(AND(P$4&gt;=$D7,P$4&lt;=$E7),"x","")</x:f>
      </x:c>
      <x:c r="Q8" s="69" t="str">
        <x:f>IF(AND(Q$4&gt;=$D7,Q$4&lt;=$E7),"x","")</x:f>
      </x:c>
      <x:c r="R8" s="69" t="str">
        <x:f>IF(AND(R$4&gt;=$D7,R$4&lt;=$E7),"x","")</x:f>
        <x:v>x</x:v>
      </x:c>
      <x:c r="S8" s="69" t="str">
        <x:f>IF(AND(S$4&gt;=$D7,S$4&lt;=$E7),"x","")</x:f>
        <x:v>x</x:v>
      </x:c>
      <x:c r="T8" s="69" t="str">
        <x:f>IF(AND(T$4&gt;=$D7,T$4&lt;=$E7),"x","")</x:f>
      </x:c>
      <x:c r="U8" s="69" t="str">
        <x:f>IF(AND(U$4&gt;=$D7,U$4&lt;=$E7),"x","")</x:f>
      </x:c>
      <x:c r="V8" s="69" t="str">
        <x:f>IF(AND(V$4&gt;=$D7,V$4&lt;=$E7),"x","")</x:f>
      </x:c>
      <x:c r="W8" s="69" t="str">
        <x:f>IF(AND(W$4&gt;=$D7,W$4&lt;=$E7),"x","")</x:f>
      </x:c>
      <x:c r="X8" s="69" t="str">
        <x:f>IF(AND(X$4&gt;=$D7,X$4&lt;=$E7),"x","")</x:f>
      </x:c>
      <x:c r="Y8" s="69" t="str">
        <x:f>IF(AND(Y$4&gt;=$D7,Y$4&lt;=$E7),"x","")</x:f>
      </x:c>
      <x:c r="Z8" s="69" t="str">
        <x:f>IF(AND(Z$4&gt;=$D7,Z$4&lt;=$E7),"x","")</x:f>
      </x:c>
      <x:c r="AA8" s="69" t="str">
        <x:f>IF(AND(AA$4&gt;=$D7,AA$4&lt;=$E7),"x","")</x:f>
      </x:c>
      <x:c r="AB8" s="69" t="str">
        <x:f>IF(AND(AB$4&gt;=$D7,AB$4&lt;=$E7),"x","")</x:f>
      </x:c>
      <x:c r="AC8" s="69" t="str">
        <x:f>IF(AND(AC$4&gt;=$D7,AC$4&lt;=$E7),"x","")</x:f>
      </x:c>
      <x:c r="AD8" s="69" t="str">
        <x:f>IF(AND(AD$4&gt;=$D7,AD$4&lt;=$E7),"x","")</x:f>
      </x:c>
      <x:c r="AE8" s="69" t="str">
        <x:f>IF(AND(AE$4&gt;=$D7,AE$4&lt;=$E7),"x","")</x:f>
      </x:c>
      <x:c r="AF8" s="69" t="str">
        <x:f>IF(AND(AF$4&gt;=$D7,AF$4&lt;=$E7),"x","")</x:f>
      </x:c>
      <x:c r="AG8" s="69" t="str">
        <x:f>IF(AND(AG$4&gt;=$D7,AG$4&lt;=$E7),"x","")</x:f>
      </x:c>
      <x:c r="AH8" s="69" t="str">
        <x:f>IF(AND(AH$4&gt;=$D7,AH$4&lt;=$E7),"x","")</x:f>
      </x:c>
      <x:c r="AI8" s="69" t="str">
        <x:f>IF(AND(AI$4&gt;=$D7,AI$4&lt;=$E7),"x","")</x:f>
      </x:c>
    </x:row>
    <x:row r="9" ht="46" customHeight="1">
      <x:c r="A9" s="40" t="n">
        <x:v>6</x:v>
      </x:c>
      <x:c r="B9" s="41" t="str">
        <x:v>Cobrancas e regras financeiras</x:v>
      </x:c>
      <x:c r="C9" s="41" t="str">
        <x:v>Geracao mensal, multa, juros, descontos, cancelamentos e historico</x:v>
      </x:c>
      <x:c r="D9" s="47" t="n">
        <x:v>46260</x:v>
      </x:c>
      <x:c r="E9" s="47" t="n">
        <x:v>46273</x:v>
      </x:c>
      <x:c r="F9" s="50" t="n">
        <x:f>ROUNDUP((E9-D9+1)/7,0)</x:f>
        <x:v>2</x:v>
      </x:c>
      <x:c r="G9" s="41" t="str">
        <x:v>Alta</x:v>
      </x:c>
      <x:c r="H9" s="41" t="str">
        <x:v>Desenvolvimento</x:v>
      </x:c>
      <x:c r="I9" s="41" t="str">
        <x:v>Em andamento</x:v>
      </x:c>
      <x:c r="J9" s="41" t="str">
        <x:v>Fase 5</x:v>
      </x:c>
      <x:c r="K9" s="42" t="str">
        <x:v>Calculo inicial de multa, juros e valor atualizado implementado. Cobrancas agora sao lidas do D1 nas telas principais.</x:v>
      </x:c>
      <x:c r="M9" s="40" t="str">
        <x:v>Contratos</x:v>
      </x:c>
      <x:c r="N9" s="69" t="str">
        <x:f>IF(AND(N$4&gt;=$D8,N$4&lt;=$E8),"x","")</x:f>
      </x:c>
      <x:c r="O9" s="69" t="str">
        <x:f>IF(AND(O$4&gt;=$D8,O$4&lt;=$E8),"x","")</x:f>
      </x:c>
      <x:c r="P9" s="69" t="str">
        <x:f>IF(AND(P$4&gt;=$D8,P$4&lt;=$E8),"x","")</x:f>
      </x:c>
      <x:c r="Q9" s="69" t="str">
        <x:f>IF(AND(Q$4&gt;=$D8,Q$4&lt;=$E8),"x","")</x:f>
      </x:c>
      <x:c r="R9" s="69" t="str">
        <x:f>IF(AND(R$4&gt;=$D8,R$4&lt;=$E8),"x","")</x:f>
      </x:c>
      <x:c r="S9" s="69" t="str">
        <x:f>IF(AND(S$4&gt;=$D8,S$4&lt;=$E8),"x","")</x:f>
      </x:c>
      <x:c r="T9" s="69" t="str">
        <x:f>IF(AND(T$4&gt;=$D8,T$4&lt;=$E8),"x","")</x:f>
        <x:v>x</x:v>
      </x:c>
      <x:c r="U9" s="69" t="str">
        <x:f>IF(AND(U$4&gt;=$D8,U$4&lt;=$E8),"x","")</x:f>
        <x:v>x</x:v>
      </x:c>
      <x:c r="V9" s="69" t="str">
        <x:f>IF(AND(V$4&gt;=$D8,V$4&lt;=$E8),"x","")</x:f>
      </x:c>
      <x:c r="W9" s="69" t="str">
        <x:f>IF(AND(W$4&gt;=$D8,W$4&lt;=$E8),"x","")</x:f>
      </x:c>
      <x:c r="X9" s="69" t="str">
        <x:f>IF(AND(X$4&gt;=$D8,X$4&lt;=$E8),"x","")</x:f>
      </x:c>
      <x:c r="Y9" s="69" t="str">
        <x:f>IF(AND(Y$4&gt;=$D8,Y$4&lt;=$E8),"x","")</x:f>
      </x:c>
      <x:c r="Z9" s="69" t="str">
        <x:f>IF(AND(Z$4&gt;=$D8,Z$4&lt;=$E8),"x","")</x:f>
      </x:c>
      <x:c r="AA9" s="69" t="str">
        <x:f>IF(AND(AA$4&gt;=$D8,AA$4&lt;=$E8),"x","")</x:f>
      </x:c>
      <x:c r="AB9" s="69" t="str">
        <x:f>IF(AND(AB$4&gt;=$D8,AB$4&lt;=$E8),"x","")</x:f>
      </x:c>
      <x:c r="AC9" s="69" t="str">
        <x:f>IF(AND(AC$4&gt;=$D8,AC$4&lt;=$E8),"x","")</x:f>
      </x:c>
      <x:c r="AD9" s="69" t="str">
        <x:f>IF(AND(AD$4&gt;=$D8,AD$4&lt;=$E8),"x","")</x:f>
      </x:c>
      <x:c r="AE9" s="69" t="str">
        <x:f>IF(AND(AE$4&gt;=$D8,AE$4&lt;=$E8),"x","")</x:f>
      </x:c>
      <x:c r="AF9" s="69" t="str">
        <x:f>IF(AND(AF$4&gt;=$D8,AF$4&lt;=$E8),"x","")</x:f>
      </x:c>
      <x:c r="AG9" s="69" t="str">
        <x:f>IF(AND(AG$4&gt;=$D8,AG$4&lt;=$E8),"x","")</x:f>
      </x:c>
      <x:c r="AH9" s="69" t="str">
        <x:f>IF(AND(AH$4&gt;=$D8,AH$4&lt;=$E8),"x","")</x:f>
      </x:c>
      <x:c r="AI9" s="69" t="str">
        <x:f>IF(AND(AI$4&gt;=$D8,AI$4&lt;=$E8),"x","")</x:f>
      </x:c>
    </x:row>
    <x:row r="10" ht="46" customHeight="1">
      <x:c r="A10" s="40" t="n">
        <x:v>7</x:v>
      </x:c>
      <x:c r="B10" s="41" t="str">
        <x:v>Mercado Pago Pix</x:v>
      </x:c>
      <x:c r="C10" s="41" t="str">
        <x:v>Geracao de cobrancas Pix e links de pagamento</x:v>
      </x:c>
      <x:c r="D10" s="47" t="n">
        <x:v>46274</x:v>
      </x:c>
      <x:c r="E10" s="47" t="n">
        <x:v>46287</x:v>
      </x:c>
      <x:c r="F10" s="50" t="n">
        <x:f>ROUNDUP((E10-D10+1)/7,0)</x:f>
        <x:v>2</x:v>
      </x:c>
      <x:c r="G10" s="41" t="str">
        <x:v>Alta</x:v>
      </x:c>
      <x:c r="H10" s="41" t="str">
        <x:v>Desenvolvimento / Integracoes</x:v>
      </x:c>
      <x:c r="I10" s="41" t="str">
        <x:v>Nao iniciado</x:v>
      </x:c>
      <x:c r="J10" s="41" t="str">
        <x:v>Fase 6</x:v>
      </x:c>
      <x:c r="K10" s="42" t="str">
        <x:v>Comecar com Pix no MVP para reduzir complexidade de cartao.</x:v>
      </x:c>
      <x:c r="M10" s="40" t="str">
        <x:v>Cobrancas e regras financeiras</x:v>
      </x:c>
      <x:c r="N10" s="69" t="str">
        <x:f>IF(AND(N$4&gt;=$D9,N$4&lt;=$E9),"x","")</x:f>
      </x:c>
      <x:c r="O10" s="69" t="str">
        <x:f>IF(AND(O$4&gt;=$D9,O$4&lt;=$E9),"x","")</x:f>
      </x:c>
      <x:c r="P10" s="69" t="str">
        <x:f>IF(AND(P$4&gt;=$D9,P$4&lt;=$E9),"x","")</x:f>
      </x:c>
      <x:c r="Q10" s="69" t="str">
        <x:f>IF(AND(Q$4&gt;=$D9,Q$4&lt;=$E9),"x","")</x:f>
      </x:c>
      <x:c r="R10" s="69" t="str">
        <x:f>IF(AND(R$4&gt;=$D9,R$4&lt;=$E9),"x","")</x:f>
      </x:c>
      <x:c r="S10" s="69" t="str">
        <x:f>IF(AND(S$4&gt;=$D9,S$4&lt;=$E9),"x","")</x:f>
      </x:c>
      <x:c r="T10" s="69" t="str">
        <x:f>IF(AND(T$4&gt;=$D9,T$4&lt;=$E9),"x","")</x:f>
      </x:c>
      <x:c r="U10" s="69" t="str">
        <x:f>IF(AND(U$4&gt;=$D9,U$4&lt;=$E9),"x","")</x:f>
      </x:c>
      <x:c r="V10" s="69" t="str">
        <x:f>IF(AND(V$4&gt;=$D9,V$4&lt;=$E9),"x","")</x:f>
        <x:v>x</x:v>
      </x:c>
      <x:c r="W10" s="69" t="str">
        <x:f>IF(AND(W$4&gt;=$D9,W$4&lt;=$E9),"x","")</x:f>
        <x:v>x</x:v>
      </x:c>
      <x:c r="X10" s="69" t="str">
        <x:f>IF(AND(X$4&gt;=$D9,X$4&lt;=$E9),"x","")</x:f>
      </x:c>
      <x:c r="Y10" s="69" t="str">
        <x:f>IF(AND(Y$4&gt;=$D9,Y$4&lt;=$E9),"x","")</x:f>
      </x:c>
      <x:c r="Z10" s="69" t="str">
        <x:f>IF(AND(Z$4&gt;=$D9,Z$4&lt;=$E9),"x","")</x:f>
      </x:c>
      <x:c r="AA10" s="69" t="str">
        <x:f>IF(AND(AA$4&gt;=$D9,AA$4&lt;=$E9),"x","")</x:f>
      </x:c>
      <x:c r="AB10" s="69" t="str">
        <x:f>IF(AND(AB$4&gt;=$D9,AB$4&lt;=$E9),"x","")</x:f>
      </x:c>
      <x:c r="AC10" s="69" t="str">
        <x:f>IF(AND(AC$4&gt;=$D9,AC$4&lt;=$E9),"x","")</x:f>
      </x:c>
      <x:c r="AD10" s="69" t="str">
        <x:f>IF(AND(AD$4&gt;=$D9,AD$4&lt;=$E9),"x","")</x:f>
      </x:c>
      <x:c r="AE10" s="69" t="str">
        <x:f>IF(AND(AE$4&gt;=$D9,AE$4&lt;=$E9),"x","")</x:f>
      </x:c>
      <x:c r="AF10" s="69" t="str">
        <x:f>IF(AND(AF$4&gt;=$D9,AF$4&lt;=$E9),"x","")</x:f>
      </x:c>
      <x:c r="AG10" s="69" t="str">
        <x:f>IF(AND(AG$4&gt;=$D9,AG$4&lt;=$E9),"x","")</x:f>
      </x:c>
      <x:c r="AH10" s="69" t="str">
        <x:f>IF(AND(AH$4&gt;=$D9,AH$4&lt;=$E9),"x","")</x:f>
      </x:c>
      <x:c r="AI10" s="69" t="str">
        <x:f>IF(AND(AI$4&gt;=$D9,AI$4&lt;=$E9),"x","")</x:f>
      </x:c>
    </x:row>
    <x:row r="11" ht="46" customHeight="1">
      <x:c r="A11" s="40" t="n">
        <x:v>8</x:v>
      </x:c>
      <x:c r="B11" s="41" t="str">
        <x:v>Webhooks e conciliacao</x:v>
      </x:c>
      <x:c r="C11" s="41" t="str">
        <x:v>Confirmacao automatica de pagamento, idempotencia e reprocessamento</x:v>
      </x:c>
      <x:c r="D11" s="47" t="n">
        <x:v>46288</x:v>
      </x:c>
      <x:c r="E11" s="47" t="n">
        <x:v>46294</x:v>
      </x:c>
      <x:c r="F11" s="50" t="n">
        <x:f>ROUNDUP((E11-D11+1)/7,0)</x:f>
        <x:v>1</x:v>
      </x:c>
      <x:c r="G11" s="41" t="str">
        <x:v>Alta</x:v>
      </x:c>
      <x:c r="H11" s="41" t="str">
        <x:v>Desenvolvimento / Integracoes</x:v>
      </x:c>
      <x:c r="I11" s="41" t="str">
        <x:v>Nao iniciado</x:v>
      </x:c>
      <x:c r="J11" s="41" t="str">
        <x:v>Fase 7</x:v>
      </x:c>
      <x:c r="K11" s="42" t="str">
        <x:v>Registrar payloads antes de processar para auditoria.</x:v>
      </x:c>
      <x:c r="M11" s="40" t="str">
        <x:v>Mercado Pago Pix</x:v>
      </x:c>
      <x:c r="N11" s="69" t="str">
        <x:f>IF(AND(N$4&gt;=$D10,N$4&lt;=$E10),"x","")</x:f>
      </x:c>
      <x:c r="O11" s="69" t="str">
        <x:f>IF(AND(O$4&gt;=$D10,O$4&lt;=$E10),"x","")</x:f>
      </x:c>
      <x:c r="P11" s="69" t="str">
        <x:f>IF(AND(P$4&gt;=$D10,P$4&lt;=$E10),"x","")</x:f>
      </x:c>
      <x:c r="Q11" s="69" t="str">
        <x:f>IF(AND(Q$4&gt;=$D10,Q$4&lt;=$E10),"x","")</x:f>
      </x:c>
      <x:c r="R11" s="69" t="str">
        <x:f>IF(AND(R$4&gt;=$D10,R$4&lt;=$E10),"x","")</x:f>
      </x:c>
      <x:c r="S11" s="69" t="str">
        <x:f>IF(AND(S$4&gt;=$D10,S$4&lt;=$E10),"x","")</x:f>
      </x:c>
      <x:c r="T11" s="69" t="str">
        <x:f>IF(AND(T$4&gt;=$D10,T$4&lt;=$E10),"x","")</x:f>
      </x:c>
      <x:c r="U11" s="69" t="str">
        <x:f>IF(AND(U$4&gt;=$D10,U$4&lt;=$E10),"x","")</x:f>
      </x:c>
      <x:c r="V11" s="69" t="str">
        <x:f>IF(AND(V$4&gt;=$D10,V$4&lt;=$E10),"x","")</x:f>
      </x:c>
      <x:c r="W11" s="69" t="str">
        <x:f>IF(AND(W$4&gt;=$D10,W$4&lt;=$E10),"x","")</x:f>
      </x:c>
      <x:c r="X11" s="69" t="str">
        <x:f>IF(AND(X$4&gt;=$D10,X$4&lt;=$E10),"x","")</x:f>
        <x:v>x</x:v>
      </x:c>
      <x:c r="Y11" s="69" t="str">
        <x:f>IF(AND(Y$4&gt;=$D10,Y$4&lt;=$E10),"x","")</x:f>
        <x:v>x</x:v>
      </x:c>
      <x:c r="Z11" s="69" t="str">
        <x:f>IF(AND(Z$4&gt;=$D10,Z$4&lt;=$E10),"x","")</x:f>
      </x:c>
      <x:c r="AA11" s="69" t="str">
        <x:f>IF(AND(AA$4&gt;=$D10,AA$4&lt;=$E10),"x","")</x:f>
      </x:c>
      <x:c r="AB11" s="69" t="str">
        <x:f>IF(AND(AB$4&gt;=$D10,AB$4&lt;=$E10),"x","")</x:f>
      </x:c>
      <x:c r="AC11" s="69" t="str">
        <x:f>IF(AND(AC$4&gt;=$D10,AC$4&lt;=$E10),"x","")</x:f>
      </x:c>
      <x:c r="AD11" s="69" t="str">
        <x:f>IF(AND(AD$4&gt;=$D10,AD$4&lt;=$E10),"x","")</x:f>
      </x:c>
      <x:c r="AE11" s="69" t="str">
        <x:f>IF(AND(AE$4&gt;=$D10,AE$4&lt;=$E10),"x","")</x:f>
      </x:c>
      <x:c r="AF11" s="69" t="str">
        <x:f>IF(AND(AF$4&gt;=$D10,AF$4&lt;=$E10),"x","")</x:f>
      </x:c>
      <x:c r="AG11" s="69" t="str">
        <x:f>IF(AND(AG$4&gt;=$D10,AG$4&lt;=$E10),"x","")</x:f>
      </x:c>
      <x:c r="AH11" s="69" t="str">
        <x:f>IF(AND(AH$4&gt;=$D10,AH$4&lt;=$E10),"x","")</x:f>
      </x:c>
      <x:c r="AI11" s="69" t="str">
        <x:f>IF(AND(AI$4&gt;=$D10,AI$4&lt;=$E10),"x","")</x:f>
      </x:c>
    </x:row>
    <x:row r="12" ht="46" customHeight="1">
      <x:c r="A12" s="40" t="n">
        <x:v>9</x:v>
      </x:c>
      <x:c r="B12" s="41" t="str">
        <x:v>Portal do inquilino</x:v>
      </x:c>
      <x:c r="C12" s="41" t="str">
        <x:v>Consulta de contrato, cobrancas, historico, comprovantes e pagamento</x:v>
      </x:c>
      <x:c r="D12" s="47" t="n">
        <x:v>46295</x:v>
      </x:c>
      <x:c r="E12" s="47" t="n">
        <x:v>46308</x:v>
      </x:c>
      <x:c r="F12" s="50" t="n">
        <x:f>ROUNDUP((E12-D12+1)/7,0)</x:f>
        <x:v>2</x:v>
      </x:c>
      <x:c r="G12" s="41" t="str">
        <x:v>Alta</x:v>
      </x:c>
      <x:c r="H12" s="41" t="str">
        <x:v>Desenvolvimento / UX</x:v>
      </x:c>
      <x:c r="I12" s="41" t="str">
        <x:v>Em andamento</x:v>
      </x:c>
      <x:c r="J12" s="41" t="str">
        <x:v>Fases 6 a 8</x:v>
      </x:c>
      <x:c r="K12" s="42" t="str">
        <x:v>Portal inicial criado e conectado aos dados persistidos do D1 para contratos, cobrancas e historico.</x:v>
      </x:c>
      <x:c r="M12" s="40" t="str">
        <x:v>Webhooks e conciliacao</x:v>
      </x:c>
      <x:c r="N12" s="69" t="str">
        <x:f>IF(AND(N$4&gt;=$D11,N$4&lt;=$E11),"x","")</x:f>
      </x:c>
      <x:c r="O12" s="69" t="str">
        <x:f>IF(AND(O$4&gt;=$D11,O$4&lt;=$E11),"x","")</x:f>
      </x:c>
      <x:c r="P12" s="69" t="str">
        <x:f>IF(AND(P$4&gt;=$D11,P$4&lt;=$E11),"x","")</x:f>
      </x:c>
      <x:c r="Q12" s="69" t="str">
        <x:f>IF(AND(Q$4&gt;=$D11,Q$4&lt;=$E11),"x","")</x:f>
      </x:c>
      <x:c r="R12" s="69" t="str">
        <x:f>IF(AND(R$4&gt;=$D11,R$4&lt;=$E11),"x","")</x:f>
      </x:c>
      <x:c r="S12" s="69" t="str">
        <x:f>IF(AND(S$4&gt;=$D11,S$4&lt;=$E11),"x","")</x:f>
      </x:c>
      <x:c r="T12" s="69" t="str">
        <x:f>IF(AND(T$4&gt;=$D11,T$4&lt;=$E11),"x","")</x:f>
      </x:c>
      <x:c r="U12" s="69" t="str">
        <x:f>IF(AND(U$4&gt;=$D11,U$4&lt;=$E11),"x","")</x:f>
      </x:c>
      <x:c r="V12" s="69" t="str">
        <x:f>IF(AND(V$4&gt;=$D11,V$4&lt;=$E11),"x","")</x:f>
      </x:c>
      <x:c r="W12" s="69" t="str">
        <x:f>IF(AND(W$4&gt;=$D11,W$4&lt;=$E11),"x","")</x:f>
      </x:c>
      <x:c r="X12" s="69" t="str">
        <x:f>IF(AND(X$4&gt;=$D11,X$4&lt;=$E11),"x","")</x:f>
      </x:c>
      <x:c r="Y12" s="69" t="str">
        <x:f>IF(AND(Y$4&gt;=$D11,Y$4&lt;=$E11),"x","")</x:f>
      </x:c>
      <x:c r="Z12" s="69" t="str">
        <x:f>IF(AND(Z$4&gt;=$D11,Z$4&lt;=$E11),"x","")</x:f>
        <x:v>x</x:v>
      </x:c>
      <x:c r="AA12" s="69" t="str">
        <x:f>IF(AND(AA$4&gt;=$D11,AA$4&lt;=$E11),"x","")</x:f>
      </x:c>
      <x:c r="AB12" s="69" t="str">
        <x:f>IF(AND(AB$4&gt;=$D11,AB$4&lt;=$E11),"x","")</x:f>
      </x:c>
      <x:c r="AC12" s="69" t="str">
        <x:f>IF(AND(AC$4&gt;=$D11,AC$4&lt;=$E11),"x","")</x:f>
      </x:c>
      <x:c r="AD12" s="69" t="str">
        <x:f>IF(AND(AD$4&gt;=$D11,AD$4&lt;=$E11),"x","")</x:f>
      </x:c>
      <x:c r="AE12" s="69" t="str">
        <x:f>IF(AND(AE$4&gt;=$D11,AE$4&lt;=$E11),"x","")</x:f>
      </x:c>
      <x:c r="AF12" s="69" t="str">
        <x:f>IF(AND(AF$4&gt;=$D11,AF$4&lt;=$E11),"x","")</x:f>
      </x:c>
      <x:c r="AG12" s="69" t="str">
        <x:f>IF(AND(AG$4&gt;=$D11,AG$4&lt;=$E11),"x","")</x:f>
      </x:c>
      <x:c r="AH12" s="69" t="str">
        <x:f>IF(AND(AH$4&gt;=$D11,AH$4&lt;=$E11),"x","")</x:f>
      </x:c>
      <x:c r="AI12" s="69" t="str">
        <x:f>IF(AND(AI$4&gt;=$D11,AI$4&lt;=$E11),"x","")</x:f>
      </x:c>
    </x:row>
    <x:row r="13" ht="46" customHeight="1">
      <x:c r="A13" s="40" t="n">
        <x:v>10</x:v>
      </x:c>
      <x:c r="B13" s="41" t="str">
        <x:v>WhatsApp e lembretes</x:v>
      </x:c>
      <x:c r="C13" s="41" t="str">
        <x:v>Regua de avisos antes do vencimento, no vencimento e em atraso</x:v>
      </x:c>
      <x:c r="D13" s="47" t="n">
        <x:v>46309</x:v>
      </x:c>
      <x:c r="E13" s="47" t="n">
        <x:v>46322</x:v>
      </x:c>
      <x:c r="F13" s="50" t="n">
        <x:f>ROUNDUP((E13-D13+1)/7,0)</x:f>
        <x:v>2</x:v>
      </x:c>
      <x:c r="G13" s="41" t="str">
        <x:v>Media</x:v>
      </x:c>
      <x:c r="H13" s="41" t="str">
        <x:v>Desenvolvimento / Integracoes</x:v>
      </x:c>
      <x:c r="I13" s="41" t="str">
        <x:v>Em andamento</x:v>
      </x:c>
      <x:c r="J13" s="41" t="str">
        <x:v>Fases 6 e 9</x:v>
      </x:c>
      <x:c r="K13" s="42" t="str">
        <x:v>Decisao tomada: n8n como orquestrador e WAHA como gateway WhatsApp. Envio real pendente.</x:v>
      </x:c>
      <x:c r="M13" s="40" t="str">
        <x:v>Portal do inquilino</x:v>
      </x:c>
      <x:c r="N13" s="69" t="str">
        <x:f>IF(AND(N$4&gt;=$D12,N$4&lt;=$E12),"x","")</x:f>
      </x:c>
      <x:c r="O13" s="69" t="str">
        <x:f>IF(AND(O$4&gt;=$D12,O$4&lt;=$E12),"x","")</x:f>
      </x:c>
      <x:c r="P13" s="69" t="str">
        <x:f>IF(AND(P$4&gt;=$D12,P$4&lt;=$E12),"x","")</x:f>
      </x:c>
      <x:c r="Q13" s="69" t="str">
        <x:f>IF(AND(Q$4&gt;=$D12,Q$4&lt;=$E12),"x","")</x:f>
      </x:c>
      <x:c r="R13" s="69" t="str">
        <x:f>IF(AND(R$4&gt;=$D12,R$4&lt;=$E12),"x","")</x:f>
      </x:c>
      <x:c r="S13" s="69" t="str">
        <x:f>IF(AND(S$4&gt;=$D12,S$4&lt;=$E12),"x","")</x:f>
      </x:c>
      <x:c r="T13" s="69" t="str">
        <x:f>IF(AND(T$4&gt;=$D12,T$4&lt;=$E12),"x","")</x:f>
      </x:c>
      <x:c r="U13" s="69" t="str">
        <x:f>IF(AND(U$4&gt;=$D12,U$4&lt;=$E12),"x","")</x:f>
      </x:c>
      <x:c r="V13" s="69" t="str">
        <x:f>IF(AND(V$4&gt;=$D12,V$4&lt;=$E12),"x","")</x:f>
      </x:c>
      <x:c r="W13" s="69" t="str">
        <x:f>IF(AND(W$4&gt;=$D12,W$4&lt;=$E12),"x","")</x:f>
      </x:c>
      <x:c r="X13" s="69" t="str">
        <x:f>IF(AND(X$4&gt;=$D12,X$4&lt;=$E12),"x","")</x:f>
      </x:c>
      <x:c r="Y13" s="69" t="str">
        <x:f>IF(AND(Y$4&gt;=$D12,Y$4&lt;=$E12),"x","")</x:f>
      </x:c>
      <x:c r="Z13" s="69" t="str">
        <x:f>IF(AND(Z$4&gt;=$D12,Z$4&lt;=$E12),"x","")</x:f>
      </x:c>
      <x:c r="AA13" s="69" t="str">
        <x:f>IF(AND(AA$4&gt;=$D12,AA$4&lt;=$E12),"x","")</x:f>
        <x:v>x</x:v>
      </x:c>
      <x:c r="AB13" s="69" t="str">
        <x:f>IF(AND(AB$4&gt;=$D12,AB$4&lt;=$E12),"x","")</x:f>
        <x:v>x</x:v>
      </x:c>
      <x:c r="AC13" s="69" t="str">
        <x:f>IF(AND(AC$4&gt;=$D12,AC$4&lt;=$E12),"x","")</x:f>
      </x:c>
      <x:c r="AD13" s="69" t="str">
        <x:f>IF(AND(AD$4&gt;=$D12,AD$4&lt;=$E12),"x","")</x:f>
      </x:c>
      <x:c r="AE13" s="69" t="str">
        <x:f>IF(AND(AE$4&gt;=$D12,AE$4&lt;=$E12),"x","")</x:f>
      </x:c>
      <x:c r="AF13" s="69" t="str">
        <x:f>IF(AND(AF$4&gt;=$D12,AF$4&lt;=$E12),"x","")</x:f>
      </x:c>
      <x:c r="AG13" s="69" t="str">
        <x:f>IF(AND(AG$4&gt;=$D12,AG$4&lt;=$E12),"x","")</x:f>
      </x:c>
      <x:c r="AH13" s="69" t="str">
        <x:f>IF(AND(AH$4&gt;=$D12,AH$4&lt;=$E12),"x","")</x:f>
      </x:c>
      <x:c r="AI13" s="69" t="str">
        <x:f>IF(AND(AI$4&gt;=$D12,AI$4&lt;=$E12),"x","")</x:f>
      </x:c>
    </x:row>
    <x:row r="14" ht="46" customHeight="1">
      <x:c r="A14" s="40" t="n">
        <x:v>11</x:v>
      </x:c>
      <x:c r="B14" s="41" t="str">
        <x:v>Dashboard e relatorios</x:v>
      </x:c>
      <x:c r="C14" s="41" t="str">
        <x:v>Indicadores, filtros, inadimplencia e relatorios por recebedor</x:v>
      </x:c>
      <x:c r="D14" s="47" t="n">
        <x:v>46323</x:v>
      </x:c>
      <x:c r="E14" s="47" t="n">
        <x:v>46336</x:v>
      </x:c>
      <x:c r="F14" s="50" t="n">
        <x:f>ROUNDUP((E14-D14+1)/7,0)</x:f>
        <x:v>2</x:v>
      </x:c>
      <x:c r="G14" s="41" t="str">
        <x:v>Media</x:v>
      </x:c>
      <x:c r="H14" s="41" t="str">
        <x:v>Desenvolvimento / Produto</x:v>
      </x:c>
      <x:c r="I14" s="41" t="str">
        <x:v>Em andamento</x:v>
      </x:c>
      <x:c r="J14" s="41" t="str">
        <x:v>Fases 6 a 10</x:v>
      </x:c>
      <x:c r="K14" s="42" t="str">
        <x:v>Dashboard inicial implementado e lendo cadastros/cobrancas do repositorio. Relatorios exportaveis pendentes.</x:v>
      </x:c>
      <x:c r="M14" s="40" t="str">
        <x:v>WhatsApp e lembretes</x:v>
      </x:c>
      <x:c r="N14" s="69" t="str">
        <x:f>IF(AND(N$4&gt;=$D13,N$4&lt;=$E13),"x","")</x:f>
      </x:c>
      <x:c r="O14" s="69" t="str">
        <x:f>IF(AND(O$4&gt;=$D13,O$4&lt;=$E13),"x","")</x:f>
      </x:c>
      <x:c r="P14" s="69" t="str">
        <x:f>IF(AND(P$4&gt;=$D13,P$4&lt;=$E13),"x","")</x:f>
      </x:c>
      <x:c r="Q14" s="69" t="str">
        <x:f>IF(AND(Q$4&gt;=$D13,Q$4&lt;=$E13),"x","")</x:f>
      </x:c>
      <x:c r="R14" s="69" t="str">
        <x:f>IF(AND(R$4&gt;=$D13,R$4&lt;=$E13),"x","")</x:f>
      </x:c>
      <x:c r="S14" s="69" t="str">
        <x:f>IF(AND(S$4&gt;=$D13,S$4&lt;=$E13),"x","")</x:f>
      </x:c>
      <x:c r="T14" s="69" t="str">
        <x:f>IF(AND(T$4&gt;=$D13,T$4&lt;=$E13),"x","")</x:f>
      </x:c>
      <x:c r="U14" s="69" t="str">
        <x:f>IF(AND(U$4&gt;=$D13,U$4&lt;=$E13),"x","")</x:f>
      </x:c>
      <x:c r="V14" s="69" t="str">
        <x:f>IF(AND(V$4&gt;=$D13,V$4&lt;=$E13),"x","")</x:f>
      </x:c>
      <x:c r="W14" s="69" t="str">
        <x:f>IF(AND(W$4&gt;=$D13,W$4&lt;=$E13),"x","")</x:f>
      </x:c>
      <x:c r="X14" s="69" t="str">
        <x:f>IF(AND(X$4&gt;=$D13,X$4&lt;=$E13),"x","")</x:f>
      </x:c>
      <x:c r="Y14" s="69" t="str">
        <x:f>IF(AND(Y$4&gt;=$D13,Y$4&lt;=$E13),"x","")</x:f>
      </x:c>
      <x:c r="Z14" s="69" t="str">
        <x:f>IF(AND(Z$4&gt;=$D13,Z$4&lt;=$E13),"x","")</x:f>
      </x:c>
      <x:c r="AA14" s="69" t="str">
        <x:f>IF(AND(AA$4&gt;=$D13,AA$4&lt;=$E13),"x","")</x:f>
      </x:c>
      <x:c r="AB14" s="69" t="str">
        <x:f>IF(AND(AB$4&gt;=$D13,AB$4&lt;=$E13),"x","")</x:f>
      </x:c>
      <x:c r="AC14" s="69" t="str">
        <x:f>IF(AND(AC$4&gt;=$D13,AC$4&lt;=$E13),"x","")</x:f>
        <x:v>x</x:v>
      </x:c>
      <x:c r="AD14" s="69" t="str">
        <x:f>IF(AND(AD$4&gt;=$D13,AD$4&lt;=$E13),"x","")</x:f>
        <x:v>x</x:v>
      </x:c>
      <x:c r="AE14" s="69" t="str">
        <x:f>IF(AND(AE$4&gt;=$D13,AE$4&lt;=$E13),"x","")</x:f>
      </x:c>
      <x:c r="AF14" s="69" t="str">
        <x:f>IF(AND(AF$4&gt;=$D13,AF$4&lt;=$E13),"x","")</x:f>
      </x:c>
      <x:c r="AG14" s="69" t="str">
        <x:f>IF(AND(AG$4&gt;=$D13,AG$4&lt;=$E13),"x","")</x:f>
      </x:c>
      <x:c r="AH14" s="69" t="str">
        <x:f>IF(AND(AH$4&gt;=$D13,AH$4&lt;=$E13),"x","")</x:f>
      </x:c>
      <x:c r="AI14" s="69" t="str">
        <x:f>IF(AND(AI$4&gt;=$D13,AI$4&lt;=$E13),"x","")</x:f>
      </x:c>
    </x:row>
    <x:row r="15" ht="46" customHeight="1">
      <x:c r="A15" s="43" t="n">
        <x:v>12</x:v>
      </x:c>
      <x:c r="B15" s="44" t="str">
        <x:v>Homologacao e lancamento</x:v>
      </x:c>
      <x:c r="C15" s="44" t="str">
        <x:v>Testes, LGPD, backups, deploy, monitoramento e treinamento</x:v>
      </x:c>
      <x:c r="D15" s="48" t="n">
        <x:v>46337</x:v>
      </x:c>
      <x:c r="E15" s="48" t="n">
        <x:v>46350</x:v>
      </x:c>
      <x:c r="F15" s="51" t="n">
        <x:f>ROUNDUP((E15-D15+1)/7,0)</x:f>
        <x:v>2</x:v>
      </x:c>
      <x:c r="G15" s="44" t="str">
        <x:v>Alta</x:v>
      </x:c>
      <x:c r="H15" s="44" t="str">
        <x:v>Todos</x:v>
      </x:c>
      <x:c r="I15" s="44" t="str">
        <x:v>Nao iniciado</x:v>
      </x:c>
      <x:c r="J15" s="44" t="str">
        <x:v>Fases 1 a 11</x:v>
      </x:c>
      <x:c r="K15" s="45" t="str">
        <x:v>Rodar cenarios reais: pagamento em dia, atraso, abono, estorno e webhook duplicado.</x:v>
      </x:c>
      <x:c r="M15" s="40" t="str">
        <x:v>Dashboard e relatorios</x:v>
      </x:c>
      <x:c r="N15" s="69" t="str">
        <x:f>IF(AND(N$4&gt;=$D14,N$4&lt;=$E14),"x","")</x:f>
      </x:c>
      <x:c r="O15" s="69" t="str">
        <x:f>IF(AND(O$4&gt;=$D14,O$4&lt;=$E14),"x","")</x:f>
      </x:c>
      <x:c r="P15" s="69" t="str">
        <x:f>IF(AND(P$4&gt;=$D14,P$4&lt;=$E14),"x","")</x:f>
      </x:c>
      <x:c r="Q15" s="69" t="str">
        <x:f>IF(AND(Q$4&gt;=$D14,Q$4&lt;=$E14),"x","")</x:f>
      </x:c>
      <x:c r="R15" s="69" t="str">
        <x:f>IF(AND(R$4&gt;=$D14,R$4&lt;=$E14),"x","")</x:f>
      </x:c>
      <x:c r="S15" s="69" t="str">
        <x:f>IF(AND(S$4&gt;=$D14,S$4&lt;=$E14),"x","")</x:f>
      </x:c>
      <x:c r="T15" s="69" t="str">
        <x:f>IF(AND(T$4&gt;=$D14,T$4&lt;=$E14),"x","")</x:f>
      </x:c>
      <x:c r="U15" s="69" t="str">
        <x:f>IF(AND(U$4&gt;=$D14,U$4&lt;=$E14),"x","")</x:f>
      </x:c>
      <x:c r="V15" s="69" t="str">
        <x:f>IF(AND(V$4&gt;=$D14,V$4&lt;=$E14),"x","")</x:f>
      </x:c>
      <x:c r="W15" s="69" t="str">
        <x:f>IF(AND(W$4&gt;=$D14,W$4&lt;=$E14),"x","")</x:f>
      </x:c>
      <x:c r="X15" s="69" t="str">
        <x:f>IF(AND(X$4&gt;=$D14,X$4&lt;=$E14),"x","")</x:f>
      </x:c>
      <x:c r="Y15" s="69" t="str">
        <x:f>IF(AND(Y$4&gt;=$D14,Y$4&lt;=$E14),"x","")</x:f>
      </x:c>
      <x:c r="Z15" s="69" t="str">
        <x:f>IF(AND(Z$4&gt;=$D14,Z$4&lt;=$E14),"x","")</x:f>
      </x:c>
      <x:c r="AA15" s="69" t="str">
        <x:f>IF(AND(AA$4&gt;=$D14,AA$4&lt;=$E14),"x","")</x:f>
      </x:c>
      <x:c r="AB15" s="69" t="str">
        <x:f>IF(AND(AB$4&gt;=$D14,AB$4&lt;=$E14),"x","")</x:f>
      </x:c>
      <x:c r="AC15" s="69" t="str">
        <x:f>IF(AND(AC$4&gt;=$D14,AC$4&lt;=$E14),"x","")</x:f>
      </x:c>
      <x:c r="AD15" s="69" t="str">
        <x:f>IF(AND(AD$4&gt;=$D14,AD$4&lt;=$E14),"x","")</x:f>
      </x:c>
      <x:c r="AE15" s="69" t="str">
        <x:f>IF(AND(AE$4&gt;=$D14,AE$4&lt;=$E14),"x","")</x:f>
        <x:v>x</x:v>
      </x:c>
      <x:c r="AF15" s="69" t="str">
        <x:f>IF(AND(AF$4&gt;=$D14,AF$4&lt;=$E14),"x","")</x:f>
        <x:v>x</x:v>
      </x:c>
      <x:c r="AG15" s="69" t="str">
        <x:f>IF(AND(AG$4&gt;=$D14,AG$4&lt;=$E14),"x","")</x:f>
      </x:c>
      <x:c r="AH15" s="69" t="str">
        <x:f>IF(AND(AH$4&gt;=$D14,AH$4&lt;=$E14),"x","")</x:f>
      </x:c>
      <x:c r="AI15" s="69" t="str">
        <x:f>IF(AND(AI$4&gt;=$D14,AI$4&lt;=$E14),"x","")</x:f>
      </x:c>
    </x:row>
    <x:row r="16">
      <x:c r="M16" s="43" t="str">
        <x:v>Homologacao e lancamento</x:v>
      </x:c>
      <x:c r="N16" s="69" t="str">
        <x:f>IF(AND(N$4&gt;=$D15,N$4&lt;=$E15),"x","")</x:f>
      </x:c>
      <x:c r="O16" s="69" t="str">
        <x:f>IF(AND(O$4&gt;=$D15,O$4&lt;=$E15),"x","")</x:f>
      </x:c>
      <x:c r="P16" s="69" t="str">
        <x:f>IF(AND(P$4&gt;=$D15,P$4&lt;=$E15),"x","")</x:f>
      </x:c>
      <x:c r="Q16" s="69" t="str">
        <x:f>IF(AND(Q$4&gt;=$D15,Q$4&lt;=$E15),"x","")</x:f>
      </x:c>
      <x:c r="R16" s="69" t="str">
        <x:f>IF(AND(R$4&gt;=$D15,R$4&lt;=$E15),"x","")</x:f>
      </x:c>
      <x:c r="S16" s="69" t="str">
        <x:f>IF(AND(S$4&gt;=$D15,S$4&lt;=$E15),"x","")</x:f>
      </x:c>
      <x:c r="T16" s="69" t="str">
        <x:f>IF(AND(T$4&gt;=$D15,T$4&lt;=$E15),"x","")</x:f>
      </x:c>
      <x:c r="U16" s="69" t="str">
        <x:f>IF(AND(U$4&gt;=$D15,U$4&lt;=$E15),"x","")</x:f>
      </x:c>
      <x:c r="V16" s="69" t="str">
        <x:f>IF(AND(V$4&gt;=$D15,V$4&lt;=$E15),"x","")</x:f>
      </x:c>
      <x:c r="W16" s="69" t="str">
        <x:f>IF(AND(W$4&gt;=$D15,W$4&lt;=$E15),"x","")</x:f>
      </x:c>
      <x:c r="X16" s="69" t="str">
        <x:f>IF(AND(X$4&gt;=$D15,X$4&lt;=$E15),"x","")</x:f>
      </x:c>
      <x:c r="Y16" s="69" t="str">
        <x:f>IF(AND(Y$4&gt;=$D15,Y$4&lt;=$E15),"x","")</x:f>
      </x:c>
      <x:c r="Z16" s="69" t="str">
        <x:f>IF(AND(Z$4&gt;=$D15,Z$4&lt;=$E15),"x","")</x:f>
      </x:c>
      <x:c r="AA16" s="69" t="str">
        <x:f>IF(AND(AA$4&gt;=$D15,AA$4&lt;=$E15),"x","")</x:f>
      </x:c>
      <x:c r="AB16" s="69" t="str">
        <x:f>IF(AND(AB$4&gt;=$D15,AB$4&lt;=$E15),"x","")</x:f>
      </x:c>
      <x:c r="AC16" s="69" t="str">
        <x:f>IF(AND(AC$4&gt;=$D15,AC$4&lt;=$E15),"x","")</x:f>
      </x:c>
      <x:c r="AD16" s="69" t="str">
        <x:f>IF(AND(AD$4&gt;=$D15,AD$4&lt;=$E15),"x","")</x:f>
      </x:c>
      <x:c r="AE16" s="69" t="str">
        <x:f>IF(AND(AE$4&gt;=$D15,AE$4&lt;=$E15),"x","")</x:f>
      </x:c>
      <x:c r="AF16" s="69" t="str">
        <x:f>IF(AND(AF$4&gt;=$D15,AF$4&lt;=$E15),"x","")</x:f>
      </x:c>
      <x:c r="AG16" s="69" t="str">
        <x:f>IF(AND(AG$4&gt;=$D15,AG$4&lt;=$E15),"x","")</x:f>
        <x:v>x</x:v>
      </x:c>
      <x:c r="AH16" s="69" t="str">
        <x:f>IF(AND(AH$4&gt;=$D15,AH$4&lt;=$E15),"x","")</x:f>
        <x:v>x</x:v>
      </x:c>
      <x:c r="AI16" s="69" t="str">
        <x:f>IF(AND(AI$4&gt;=$D15,AI$4&lt;=$E15),"x","")</x:f>
      </x:c>
    </x:row>
  </x:sheetData>
  <x:mergeCells>
    <x:mergeCell ref="A1:AI1"/>
  </x:mergeCells>
  <x:dataValidations count="2">
    <x:dataValidation type="list" sqref="G4:G15">
      <x:formula1>"Alta,Media,Baixa"</x:formula1>
    </x:dataValidation>
    <x:dataValidation type="list" sqref="I4:I15">
      <x:formula1>"Nao iniciado,Em andamento,Concluido,Bloqueado"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.380001068115234" hidden="0" customWidth="1"/>
    <x:col min="2" max="2" width="18" hidden="0" customWidth="1"/>
    <x:col min="3" max="3" width="42" hidden="0" customWidth="1"/>
    <x:col min="4" max="4" width="18" hidden="0" customWidth="1"/>
  </x:cols>
  <x:sheetData>
    <x:row r="1" ht="30" customHeight="1">
      <x:c r="A1" s="4" t="str">
        <x:v>Resumo Executivo do Projeto</x:v>
      </x:c>
      <x:c r="B1" s="4" t="str">
        <x:v>Resumo Executivo do Projeto</x:v>
      </x:c>
      <x:c r="C1" s="4" t="str">
        <x:v>Resumo Executivo do Projeto</x:v>
      </x:c>
      <x:c r="D1" s="4" t="str">
        <x:v>Resumo Executivo do Projeto</x:v>
      </x:c>
      <x:c r="E1" s="4" t="str">
        <x:v>Resumo Executivo do Projeto</x:v>
      </x:c>
      <x:c r="F1" s="4" t="str">
        <x:v>Resumo Executivo do Projeto</x:v>
      </x:c>
      <x:c r="G1" s="4" t="str">
        <x:v>Resumo Executivo do Projeto</x:v>
      </x:c>
      <x:c r="H1" s="4" t="str">
        <x:v>Resumo Executivo do Projeto</x:v>
      </x:c>
    </x:row>
    <x:row r="3">
      <x:c r="A3" s="16" t="str">
        <x:v>Indicador</x:v>
      </x:c>
      <x:c r="B3" s="18" t="str">
        <x:v>Valor</x:v>
      </x:c>
    </x:row>
    <x:row r="4">
      <x:c r="A4" s="37" t="str">
        <x:v>Total de fases</x:v>
      </x:c>
      <x:c r="B4" s="39" t="n">
        <x:f>COUNTA(Cronograma!A4:A15)</x:f>
        <x:v>12</x:v>
      </x:c>
    </x:row>
    <x:row r="5">
      <x:c r="A5" s="40" t="str">
        <x:v>Fases concluidas</x:v>
      </x:c>
      <x:c r="B5" s="42" t="n">
        <x:f>COUNTIF(Cronograma!I4:I15,"Concluido")</x:f>
        <x:v>1</x:v>
      </x:c>
    </x:row>
    <x:row r="6">
      <x:c r="A6" s="40" t="str">
        <x:v>Fases em andamento</x:v>
      </x:c>
      <x:c r="B6" s="42" t="n">
        <x:f>COUNTIF(Cronograma!I4:I15,"Em andamento")</x:f>
        <x:v>7</x:v>
      </x:c>
    </x:row>
    <x:row r="7">
      <x:c r="A7" s="40" t="str">
        <x:v>Fases bloqueadas</x:v>
      </x:c>
      <x:c r="B7" s="42" t="n">
        <x:f>COUNTIF(Cronograma!I4:I15,"Bloqueado")</x:f>
        <x:v>0</x:v>
      </x:c>
    </x:row>
    <x:row r="8">
      <x:c r="A8" s="43" t="str">
        <x:v>Conclusao estimada</x:v>
      </x:c>
      <x:c r="B8" s="70" t="n">
        <x:f>MAX(Cronograma!E4:E15)</x:f>
        <x:v>46350</x:v>
      </x:c>
    </x:row>
    <x:row r="10">
      <x:c r="A10" s="16" t="str">
        <x:v>Decisao pendente</x:v>
      </x:c>
      <x:c r="B10" s="17" t="str">
        <x:v>Por que importa</x:v>
      </x:c>
      <x:c r="C10" s="17" t="str">
        <x:v>Momento recomendado</x:v>
      </x:c>
      <x:c r="D10" s="18" t="str">
        <x:v>Status</x:v>
      </x:c>
    </x:row>
    <x:row r="11">
      <x:c r="A11" s="37" t="str">
        <x:v>Modelo Mercado Pago</x:v>
      </x:c>
      <x:c r="B11" s="38" t="str">
        <x:v>Define se o pagamento vai para conta central, multiplas contas ou split</x:v>
      </x:c>
      <x:c r="C11" s="38" t="str">
        <x:v>Antes da Fase 2</x:v>
      </x:c>
      <x:c r="D11" s="39" t="str">
        <x:v>Pendente</x:v>
      </x:c>
    </x:row>
    <x:row r="12">
      <x:c r="A12" s="40" t="str">
        <x:v>Stack do monolito</x:v>
      </x:c>
      <x:c r="B12" s="41" t="str">
        <x:v>Define produtividade, hospedagem e manutencao</x:v>
      </x:c>
      <x:c r="C12" s="41" t="str">
        <x:v>Fase 1</x:v>
      </x:c>
      <x:c r="D12" s="42" t="str">
        <x:v>Definido</x:v>
      </x:c>
    </x:row>
    <x:row r="13">
      <x:c r="A13" s="40" t="str">
        <x:v>Provedor WhatsApp</x:v>
      </x:c>
      <x:c r="B13" s="41" t="str">
        <x:v>Define custo e regras de envio</x:v>
      </x:c>
      <x:c r="C13" s="41" t="str">
        <x:v>Antes da Fase 10</x:v>
      </x:c>
      <x:c r="D13" s="42" t="str">
        <x:v>Definido</x:v>
      </x:c>
    </x:row>
    <x:row r="14">
      <x:c r="A14" s="43" t="str">
        <x:v>Cartao no MVP</x:v>
      </x:c>
      <x:c r="B14" s="44" t="str">
        <x:v>Pode aumentar escopo e prazo</x:v>
      </x:c>
      <x:c r="C14" s="44" t="str">
        <x:v>Antes da Fase 7</x:v>
      </x:c>
      <x:c r="D14" s="45" t="str">
        <x:v>Pendente</x:v>
      </x:c>
    </x:row>
    <x:row r="16">
      <x:c r="A16" s="16" t="str">
        <x:v>MVP recomendado</x:v>
      </x:c>
      <x:c r="B16" s="17" t="str">
        <x:v>Incluido?</x:v>
      </x:c>
      <x:c r="C16" s="17" t="str">
        <x:v>Observacao</x:v>
      </x:c>
      <x:c r="D16" s="18" t="str">
        <x:v>Prioridade</x:v>
      </x:c>
    </x:row>
    <x:row r="17">
      <x:c r="A17" s="37" t="str">
        <x:v>Cadastros de imoveis, inquilinos e recebedores</x:v>
      </x:c>
      <x:c r="B17" s="38" t="str">
        <x:v>Sim</x:v>
      </x:c>
      <x:c r="C17" s="38" t="str">
        <x:v>Base para contratos e cobrancas</x:v>
      </x:c>
      <x:c r="D17" s="39" t="str">
        <x:v>Alta</x:v>
      </x:c>
    </x:row>
    <x:row r="18">
      <x:c r="A18" s="40" t="str">
        <x:v>Contratos com recebedor definido</x:v>
      </x:c>
      <x:c r="B18" s="41" t="str">
        <x:v>Sim</x:v>
      </x:c>
      <x:c r="C18" s="41" t="str">
        <x:v>Regra central da aplicacao</x:v>
      </x:c>
      <x:c r="D18" s="42" t="str">
        <x:v>Alta</x:v>
      </x:c>
    </x:row>
    <x:row r="19">
      <x:c r="A19" s="40" t="str">
        <x:v>Cobrancas mensais com multa e juros</x:v>
      </x:c>
      <x:c r="B19" s="41" t="str">
        <x:v>Sim</x:v>
      </x:c>
      <x:c r="C19" s="41" t="str">
        <x:v>Essencial para operacao</x:v>
      </x:c>
      <x:c r="D19" s="42" t="str">
        <x:v>Alta</x:v>
      </x:c>
    </x:row>
    <x:row r="20">
      <x:c r="A20" s="40" t="str">
        <x:v>Mercado Pago Pix</x:v>
      </x:c>
      <x:c r="B20" s="41" t="str">
        <x:v>Sim</x:v>
      </x:c>
      <x:c r="C20" s="41" t="str">
        <x:v>Primeira integracao de pagamento</x:v>
      </x:c>
      <x:c r="D20" s="42" t="str">
        <x:v>Alta</x:v>
      </x:c>
    </x:row>
    <x:row r="21">
      <x:c r="A21" s="40" t="str">
        <x:v>Portal do inquilino</x:v>
      </x:c>
      <x:c r="B21" s="41" t="str">
        <x:v>Sim</x:v>
      </x:c>
      <x:c r="C21" s="41" t="str">
        <x:v>Transparencia e autoatendimento</x:v>
      </x:c>
      <x:c r="D21" s="42" t="str">
        <x:v>Alta</x:v>
      </x:c>
    </x:row>
    <x:row r="22">
      <x:c r="A22" s="43" t="str">
        <x:v>Cartao de credito</x:v>
      </x:c>
      <x:c r="B22" s="44" t="str">
        <x:v>Depois</x:v>
      </x:c>
      <x:c r="C22" s="44" t="str">
        <x:v>Pode ficar para fase posterior</x:v>
      </x:c>
      <x:c r="D22" s="45" t="str">
        <x:v>Media</x:v>
      </x:c>
    </x:row>
  </x:sheetData>
  <x:mergeCells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40" hidden="0" customWidth="1"/>
    <x:col min="4" max="4" width="52" hidden="0" customWidth="1"/>
  </x:cols>
  <x:sheetData>
    <x:row r="1" ht="30" customHeight="1">
      <x:c r="A1" s="4" t="str">
        <x:v>Riscos e Mitigacoes</x:v>
      </x:c>
      <x:c r="B1" s="4" t="str">
        <x:v>Riscos e Mitigacoes</x:v>
      </x:c>
      <x:c r="C1" s="4" t="str">
        <x:v>Riscos e Mitigacoes</x:v>
      </x:c>
      <x:c r="D1" s="4" t="str">
        <x:v>Riscos e Mitigacoes</x:v>
      </x:c>
    </x:row>
    <x:row r="3">
      <x:c r="A3" s="16" t="str">
        <x:v>Impacto</x:v>
      </x:c>
      <x:c r="B3" s="17" t="str">
        <x:v>Risco</x:v>
      </x:c>
      <x:c r="C3" s="17" t="str">
        <x:v>Efeito possivel</x:v>
      </x:c>
      <x:c r="D3" s="18" t="str">
        <x:v>Mitigacao</x:v>
      </x:c>
    </x:row>
    <x:row r="4" ht="42" customHeight="1">
      <x:c r="A4" s="37" t="str">
        <x:v>Alto</x:v>
      </x:c>
      <x:c r="B4" s="38" t="str">
        <x:v>Modelo Mercado Pago incorreto</x:v>
      </x:c>
      <x:c r="C4" s="38" t="str">
        <x:v>Repasses ou conciliacao podem ficar inviaveis</x:v>
      </x:c>
      <x:c r="D4" s="39" t="str">
        <x:v>Validar conta central, multiplas contas, OAuth ou marketplace/split antes do desenvolvimento</x:v>
      </x:c>
    </x:row>
    <x:row r="5" ht="42" customHeight="1">
      <x:c r="A5" s="40" t="str">
        <x:v>Alto</x:v>
      </x:c>
      <x:c r="B5" s="41" t="str">
        <x:v>Webhook duplicado ou perdido</x:v>
      </x:c>
      <x:c r="C5" s="41" t="str">
        <x:v>Cobranca pode ficar com status incorreto</x:v>
      </x:c>
      <x:c r="D5" s="42" t="str">
        <x:v>Processamento idempotente, logs e reprocessamento manual</x:v>
      </x:c>
    </x:row>
    <x:row r="6" ht="42" customHeight="1">
      <x:c r="A6" s="40" t="str">
        <x:v>Alto</x:v>
      </x:c>
      <x:c r="B6" s="41" t="str">
        <x:v>Permissoes mal separadas</x:v>
      </x:c>
      <x:c r="C6" s="41" t="str">
        <x:v>Recebedor ou inquilino pode ver dados indevidos</x:v>
      </x:c>
      <x:c r="D6" s="42" t="str">
        <x:v>Testes de autorizacao por perfil e contrato</x:v>
      </x:c>
    </x:row>
    <x:row r="7" ht="42" customHeight="1">
      <x:c r="A7" s="40" t="str">
        <x:v>Medio</x:v>
      </x:c>
      <x:c r="B7" s="41" t="str">
        <x:v>Calculo incorreto de juros</x:v>
      </x:c>
      <x:c r="C7" s="41" t="str">
        <x:v>Cobranca indevida ou perda financeira</x:v>
      </x:c>
      <x:c r="D7" s="42" t="str">
        <x:v>Testes unitarios para multa, juros, carencia e abonos</x:v>
      </x:c>
    </x:row>
    <x:row r="8" ht="42" customHeight="1">
      <x:c r="A8" s="40" t="str">
        <x:v>Medio</x:v>
      </x:c>
      <x:c r="B8" s="41" t="str">
        <x:v>Mensagens WhatsApp duplicadas</x:v>
      </x:c>
      <x:c r="C8" s="41" t="str">
        <x:v>Experiencia ruim para o inquilino</x:v>
      </x:c>
      <x:c r="D8" s="42" t="str">
        <x:v>Controle de envio por cobranca, evento e data</x:v>
      </x:c>
    </x:row>
    <x:row r="9" ht="42" customHeight="1">
      <x:c r="A9" s="40" t="str">
        <x:v>Medio</x:v>
      </x:c>
      <x:c r="B9" s="41" t="str">
        <x:v>Cartao no MVP aumentar complexidade</x:v>
      </x:c>
      <x:c r="C9" s="41" t="str">
        <x:v>Atraso no lancamento</x:v>
      </x:c>
      <x:c r="D9" s="42" t="str">
        <x:v>Comecar com Pix e deixar cartao para fase posterior, se necessario</x:v>
      </x:c>
    </x:row>
    <x:row r="10" ht="42" customHeight="1">
      <x:c r="A10" s="43" t="str">
        <x:v>Medio</x:v>
      </x:c>
      <x:c r="B10" s="44" t="str">
        <x:v>Armazenamento de documentos sensiveis</x:v>
      </x:c>
      <x:c r="C10" s="44" t="str">
        <x:v>Risco de LGPD e seguranca</x:v>
      </x:c>
      <x:c r="D10" s="45" t="str">
        <x:v>Controle de acesso, logs, backups e politica de retencao</x:v>
      </x:c>
    </x:row>
  </x:sheetData>
  <x:mergeCells>
    <x:mergeCell ref="A1:D1"/>
  </x:mergeCells>
  <x:dataValidations count="1">
    <x:dataValidation type="list" sqref="A4:A10">
      <x:formula1>"Alto,Medio,Baixo"</x:formula1>
    </x:dataValidation>
  </x:dataValidations>
  <x:pageMargins left="0.7" right="0.7" top="0.75" bottom="0.75" header="0.3" footer="0.3"/>
</x:worksheet>
</file>
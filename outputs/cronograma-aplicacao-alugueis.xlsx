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Resumo" sheetId="2" state="visible" r:id="rId4"/>
    <sheet name="Risc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<sst xmlns="http://schemas.openxmlformats.org/spreadsheetml/2006/main" count="336" uniqueCount="209">
  <si>
    <t xml:space="preserve">Cronograma de Desenvolvimento - Aplicacao de Alugueis</t>
  </si>
  <si>
    <t xml:space="preserve">ID</t>
  </si>
  <si>
    <t xml:space="preserve">Fase</t>
  </si>
  <si>
    <t xml:space="preserve">Entrega principal</t>
  </si>
  <si>
    <t xml:space="preserve">Inicio</t>
  </si>
  <si>
    <t xml:space="preserve">Fim</t>
  </si>
  <si>
    <t xml:space="preserve">Semanas</t>
  </si>
  <si>
    <t xml:space="preserve">Prioridade</t>
  </si>
  <si>
    <t xml:space="preserve">Responsavel</t>
  </si>
  <si>
    <t xml:space="preserve">Status</t>
  </si>
  <si>
    <t xml:space="preserve">Dependencia</t>
  </si>
  <si>
    <t xml:space="preserve">Observacoes</t>
  </si>
  <si>
    <t xml:space="preserve">Linha do tempo semanal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</si>
  <si>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</si>
  <si>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</si>
  <si>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</si>
  <si>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</si>
  <si>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</si>
  <si>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</si>
  <si>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</si>
  <si>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</si>
  <si>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Descoberta e modelagem</t>
  </si>
  <si>
    <t xml:space="preserve">Validar regras de negocio, modelo de recebimento e escopo do MVP</t>
  </si>
  <si>
    <t xml:space="preserve">Alta</t>
  </si>
  <si>
    <t xml:space="preserve">Produto / Negocio</t>
  </si>
  <si>
    <t xml:space="preserve">Concluido</t>
  </si>
  <si>
    <t xml:space="preserve">Nenhuma</t>
  </si>
  <si>
    <t xml:space="preserve">Requisitos originais documentados (outputs/instrucoes-aplicacao-alugueis.md); escopo revisado apos decisao pela stack Cloudflare.</t>
  </si>
  <si>
    <t xml:space="preserve">Arquitetura e base tecnica</t>
  </si>
  <si>
    <t xml:space="preserve">Criar monolito, banco, autenticacao base e ambiente de deploy</t>
  </si>
  <si>
    <t xml:space="preserve">Desenvolvimento</t>
  </si>
  <si>
    <t xml:space="preserve">Fase 1</t>
  </si>
  <si>
    <t xml:space="preserve">Stack real: vinext + Cloudflare Workers + D1 + R2 (diferente da proposta original Laravel/Django + PostgreSQL). Deploy em property-manager.lucasfbraun.workers.dev.</t>
  </si>
  <si>
    <t xml:space="preserve">Usuarios e permissoes</t>
  </si>
  <si>
    <t xml:space="preserve">Perfis de administrador, recebedor e inquilino</t>
  </si>
  <si>
    <t xml:space="preserve">Fase 2</t>
  </si>
  <si>
    <t xml:space="preserve">Autenticacao por sessao (cookie) com hash PBKDF2-SHA256 e 3 papeis implementada.</t>
  </si>
  <si>
    <t xml:space="preserve">Cadastros principais</t>
  </si>
  <si>
    <t xml:space="preserve">Imoveis, inquilinos, recebedores e dados auxiliares</t>
  </si>
  <si>
    <t xml:space="preserve">Fase 3</t>
  </si>
  <si>
    <t xml:space="preserve">CRUD completo (criar, editar, excluir com guarda de vinculos) auditado em 05/07/2026.</t>
  </si>
  <si>
    <t xml:space="preserve">Seguranca de API e edicao completa nos CRUDs</t>
  </si>
  <si>
    <t xml:space="preserve">Proteger rotas de API por papel e habilitar edicao total dos cadastros</t>
  </si>
  <si>
    <t xml:space="preserve">Fase 4</t>
  </si>
  <si>
    <t xml:space="preserve">Escopo adicional identificado e entregue: todas as rotas de API exigem admin autenticado; PATCH adicionado a todas as entidades.</t>
  </si>
  <si>
    <t xml:space="preserve">Contratos</t>
  </si>
  <si>
    <t xml:space="preserve">Cadastro de contratos, vencimento, recebedor, valores e regras</t>
  </si>
  <si>
    <t xml:space="preserve">Fase 5</t>
  </si>
  <si>
    <t xml:space="preserve">Cadastro completo de contratos com calculo de multa, juros e carencia.</t>
  </si>
  <si>
    <t xml:space="preserve">Templates de contrato e assinatura eletronica</t>
  </si>
  <si>
    <t xml:space="preserve">Templates nomeados, geracao por inquilino, download em PDF, upload assinado e fila de aprovacao</t>
  </si>
  <si>
    <t xml:space="preserve">Fase 6</t>
  </si>
  <si>
    <t xml:space="preserve">Fora do escopo do MVP original (listado como 'fora do MVP inicial' no documento de requisitos); adicionado por solicitacao explicita. Emails via Resend na aprovacao/rejeicao.</t>
  </si>
  <si>
    <t xml:space="preserve">Armazenamento de documentos assinados (R2)</t>
  </si>
  <si>
    <t xml:space="preserve">Migrar PDF assinado de blob no D1 para o Cloudflare R2</t>
  </si>
  <si>
    <t xml:space="preserve">Media</t>
  </si>
  <si>
    <t xml:space="preserve">Fase 7</t>
  </si>
  <si>
    <t xml:space="preserve">Custo/escala mais adequados ao volume esperado (poucos contratos); limite de arquivo elevado para 15MB.</t>
  </si>
  <si>
    <t xml:space="preserve">Cobrancas e regras financeiras</t>
  </si>
  <si>
    <t xml:space="preserve">Calculo de multa, juros, descontos e historico de cobrancas</t>
  </si>
  <si>
    <t xml:space="preserve">Calculo de valor atualizado (multa + juros + carencia) implementado e lido do D1.</t>
  </si>
  <si>
    <t xml:space="preserve">Mercado Pago Pix</t>
  </si>
  <si>
    <t xml:space="preserve">Cada recebedor conecta a propria conta via OAuth e gera cobranca Pix</t>
  </si>
  <si>
    <t xml:space="preserve">Desenvolvimento / Integracoes</t>
  </si>
  <si>
    <t xml:space="preserve">Fase 9</t>
  </si>
  <si>
    <t xml:space="preserve">Modelo marketplace/split por recebedor. Sandbox do Mercado Pago se mostrou instavel para esse modelo (varios erros: client_id/secret, contas de teste, "Invalid users involved"); validado com um pagamento Pix real de R$1 em producao (ver Fase 20). Recomenda-se mais alguns testes reais de baixo valor antes do uso pleno (ver Riscos).</t>
  </si>
  <si>
    <t xml:space="preserve">Webhooks e conciliacao</t>
  </si>
  <si>
    <t xml:space="preserve">Confirmacao automatica de pagamento, idempotencia e validacao de assinatura</t>
  </si>
  <si>
    <t xml:space="preserve">Fase 10</t>
  </si>
  <si>
    <t xml:space="preserve">Validacao HMAC do webhook e checagem de external_id antes de gravar pagamento. Adicionado tambem um fallback manual: botao admin "Verificar pagamento" que reconcilia a cobranca direto na API da MP quando o webhook nao chega (ver Fase 20).</t>
  </si>
  <si>
    <t xml:space="preserve">Geracao de cobranca mensal (manual e automatica)</t>
  </si>
  <si>
    <t xml:space="preserve">Botao de geracao manual e Cron Trigger diario para geracao automatica</t>
  </si>
  <si>
    <t xml:space="preserve">Janela de 5 dias antes do vencimento (com reprocessamento de ate 3 dias em atraso); checagem de duplicidade por contrato e mes.</t>
  </si>
  <si>
    <t xml:space="preserve">Portal do inquilino</t>
  </si>
  <si>
    <t xml:space="preserve">Consulta de contrato, cobrancas, historico, comprovantes e pagamento Pix</t>
  </si>
  <si>
    <t xml:space="preserve">Desenvolvimento / UX</t>
  </si>
  <si>
    <t xml:space="preserve">Fases 9 a 12</t>
  </si>
  <si>
    <t xml:space="preserve">Portal conectado aos dados reais do D1, com botao de Pix e status/link do contrato.</t>
  </si>
  <si>
    <t xml:space="preserve">Redesign visual (tema escuro)</t>
  </si>
  <si>
    <t xml:space="preserve">Tema escuro como padrao com alternancia claro/escuro em toda a aplicacao</t>
  </si>
  <si>
    <t xml:space="preserve">Aplicado a dashboard, cadastros, portais e login.</t>
  </si>
  <si>
    <t xml:space="preserve">Dashboard e relatorios</t>
  </si>
  <si>
    <t xml:space="preserve">Indicadores, filtros, inadimplencia e relatorios exportaveis por recebedor</t>
  </si>
  <si>
    <t xml:space="preserve">Desenvolvimento / Produto</t>
  </si>
  <si>
    <t xml:space="preserve">Em andamento</t>
  </si>
  <si>
    <t xml:space="preserve">Fases 9 a 13</t>
  </si>
  <si>
    <t xml:space="preserve">Dashboard com indicadores ja implementado e lendo dados reais; exportacao de relatorios ainda pendente.</t>
  </si>
  <si>
    <t xml:space="preserve">WhatsApp e lembretes</t>
  </si>
  <si>
    <t xml:space="preserve">Regua de avisos antes do vencimento, no vencimento e em atraso</t>
  </si>
  <si>
    <t xml:space="preserve">Nao iniciado</t>
  </si>
  <si>
    <t xml:space="preserve">Fases 9 e 13</t>
  </si>
  <si>
    <t xml:space="preserve">Decisao revisada em 11/07/2026: Cron Trigger da Cloudflare chama o WAHA diretamente, sem n8n como orquestrador (ver docs/INTEGRACAO_WHATSAPP_WAHA.md). Regua definida (5 dias antes, no vencimento, a cada 3 dias em atraso, confirmacao de pagamento). Implementacao do envio ainda nao iniciada.</t>
  </si>
  <si>
    <t xml:space="preserve">Autoatendimento de senha e gestao de cobrancas</t>
  </si>
  <si>
    <t xml:space="preserve">Troca de senha pelo proprio usuario e tela para editar/cancelar cobranca gerada</t>
  </si>
  <si>
    <t xml:space="preserve">Fase 12</t>
  </si>
  <si>
    <t xml:space="preserve">Gaps identificados na auditoria de codigo de 05/07/2026; hoje so e possivel gerar cobranca, nao editar/cancelar.</t>
  </si>
  <si>
    <t xml:space="preserve">Homologacao e lancamento</t>
  </si>
  <si>
    <t xml:space="preserve">Testes de ponta a ponta, LGPD, backups, monitoramento e treinamento</t>
  </si>
  <si>
    <t xml:space="preserve">Todos</t>
  </si>
  <si>
    <t xml:space="preserve">Fases 1 a 17</t>
  </si>
  <si>
    <t xml:space="preserve">Inclui teste real do fluxo Pix/Mercado Pago em sandbox e teste de ponta a ponta da aplicacao publicada.</t>
  </si>
  <si>
    <t xml:space="preserve">Vistoria fotografica e registro de ocorrencias</t>
  </si>
  <si>
    <t xml:space="preserve">Fotos da vistoria embutidas no PDF do contrato gerado; inquilino registra ocorrencias com fotos e acompanha status</t>
  </si>
  <si>
    <t xml:space="preserve">Fora do MVP original, adicionado por solicitacao explicita. Fotos da vistoria (camera ou galeria) sao embutidas diretamente no PDF gerado do contrato via pdf-lib, para resguardo em caso de disputa. Inquilino pode reportar ocorrencia (fotos + descricao) e o admin acompanha com status aberta/em analise/resolvida.</t>
  </si>
  <si>
    <t xml:space="preserve">x</t>
  </si>
  <si>
    <t xml:space="preserve">Teste real do fluxo Pix e comprovante de pagamento</t>
  </si>
  <si>
    <t xml:space="preserve">Validacao ponta a ponta do Pix (OAuth, cobranca, webhook) e recibo de pagamento em PDF</t>
  </si>
  <si>
    <t xml:space="preserve">Fases 10 e 11</t>
  </si>
  <si>
    <t xml:space="preserve">Corrigidos no caminho: client_secret errado (nao e o Access Token), e-mail de login do inquilino que nao sincronizava ao editar, CPF ausente no payload do Pix (obrigatorio pela MP). Webhook de producao nao estava configurado a tempo do primeiro pagamento; adicionado o botao admin "Verificar pagamento" como fallback. Recibo de pagamento em PDF (texto fixo por enquanto) liberado ao inquilino apos a cobranca ser paga.</t>
  </si>
  <si>
    <t xml:space="preserve">Rateio de agua entre imoveis</t>
  </si>
  <si>
    <t xml:space="preserve">Admin informa a fatura de agua do mes, seleciona os imoveis participantes e o valor e somado na cobranca de cada um</t>
  </si>
  <si>
    <t xml:space="preserve">Opcional, adicionado por solicitacao explicita (caso de uso: predio com multiplos apartamentos do mesmo dono). Divisao igual entre os imoveis selecionados; fatura de agua (JPG/PNG/PDF) pode ser anexada; valor e somado automaticamente na cobranca do mes (na hora, se ja existir, ou quando a cobranca for gerada).</t>
  </si>
  <si>
    <t xml:space="preserve">Ajustes de responsividade mobile</t>
  </si>
  <si>
    <t xml:space="preserve">Revisao e correcoes de UX para uso em celular</t>
  </si>
  <si>
    <t xml:space="preserve">Fase 13</t>
  </si>
  <si>
    <t xml:space="preserve">Tabela de contratos (admin) ganhou menu de acoes compacto no celular (antes exigia rolagem horizontal por 4 botoes lado a lado). Corrigido botao de remover foto de vistoria que dependia de :hover, invisivel em telas touch.</t>
  </si>
  <si>
    <t xml:space="preserve">Chat de ajuda no painel admin</t>
  </si>
  <si>
    <t xml:space="preserve">Widget de chat flutuante no painel admin com busca por palavras-chave sobre o manual da aplicacao</t>
  </si>
  <si>
    <t xml:space="preserve">Baixa</t>
  </si>
  <si>
    <t xml:space="preserve">Adicionado por solicitacao explicita. Sem IA externa: busca por palavras-chave contra uma base de conhecimento fixa (MANUAL-ADMIN.md / help-content.ts), 100% dentro do Worker atual, nunca consulta o banco de dados (privacidade por construcao). Disponivel apenas no painel admin (dashboard, cadastros, contratos, rateios, integracoes); nao aparece no portal do inquilino nem do recebedor.</t>
  </si>
  <si>
    <t xml:space="preserve">Resumo Executivo do Projeto</t>
  </si>
  <si>
    <t xml:space="preserve">Indicador</t>
  </si>
  <si>
    <t xml:space="preserve">Valor</t>
  </si>
  <si>
    <t xml:space="preserve">Total de fases</t>
  </si>
  <si>
    <t xml:space="preserve">Fases concluidas</t>
  </si>
  <si>
    <t xml:space="preserve">Fases em andamento</t>
  </si>
  <si>
    <t xml:space="preserve">Fases nao iniciadas</t>
  </si>
  <si>
    <t xml:space="preserve">Fases bloqueadas</t>
  </si>
  <si>
    <t xml:space="preserve">Conclusao estimada</t>
  </si>
  <si>
    <t xml:space="preserve">Decisao</t>
  </si>
  <si>
    <t xml:space="preserve">Por que importa</t>
  </si>
  <si>
    <t xml:space="preserve">Momento recomendado</t>
  </si>
  <si>
    <t xml:space="preserve">Modelo Mercado Pago</t>
  </si>
  <si>
    <t xml:space="preserve">Define se o pagamento vai para conta central, multiplas contas ou split</t>
  </si>
  <si>
    <t xml:space="preserve">Definido: OAuth por recebedor (marketplace/split). Sandbox instavel para esse modelo; validado com pagamento Pix real de R$1 (ver Fase 20)</t>
  </si>
  <si>
    <t xml:space="preserve">Stack do projeto</t>
  </si>
  <si>
    <t xml:space="preserve">Define produtividade, hospedagem e manutencao</t>
  </si>
  <si>
    <t xml:space="preserve">Definido: vinext + Cloudflare Workers + D1 + R2 (nao a proposta original)</t>
  </si>
  <si>
    <t xml:space="preserve">Provedor WhatsApp</t>
  </si>
  <si>
    <t xml:space="preserve">Define custo e regras de envio</t>
  </si>
  <si>
    <t xml:space="preserve">Fase 16</t>
  </si>
  <si>
    <t xml:space="preserve">Definido (revisado 11/07/2026): Cron Trigger da Cloudflare chama o WAHA direto, sem n8n; implementacao do envio pendente</t>
  </si>
  <si>
    <t xml:space="preserve">Armazenamento de PDF assinado</t>
  </si>
  <si>
    <t xml:space="preserve">Define custo e escalabilidade do storage de contratos</t>
  </si>
  <si>
    <t xml:space="preserve">Fase 8</t>
  </si>
  <si>
    <t xml:space="preserve">Definido: Cloudflare R2 (migrado do D1)</t>
  </si>
  <si>
    <t xml:space="preserve">Cartao de credito</t>
  </si>
  <si>
    <t xml:space="preserve">Pode aumentar escopo e prazo</t>
  </si>
  <si>
    <t xml:space="preserve">Pos-lancamento</t>
  </si>
  <si>
    <t xml:space="preserve">Pendente (fora do escopo atual, so Pix)</t>
  </si>
  <si>
    <t xml:space="preserve">Item</t>
  </si>
  <si>
    <t xml:space="preserve">Incluido?</t>
  </si>
  <si>
    <t xml:space="preserve">Observacao</t>
  </si>
  <si>
    <t xml:space="preserve">Cadastros de imoveis, inquilinos e recebedores</t>
  </si>
  <si>
    <t xml:space="preserve">Sim</t>
  </si>
  <si>
    <t xml:space="preserve">CRUD completo entregue</t>
  </si>
  <si>
    <t xml:space="preserve">Contratos com recebedor definido</t>
  </si>
  <si>
    <t xml:space="preserve">Regra central da aplicacao</t>
  </si>
  <si>
    <t xml:space="preserve">Cobrancas mensais com multa e juros</t>
  </si>
  <si>
    <t xml:space="preserve">Geracao manual e automatica via cron entregues</t>
  </si>
  <si>
    <t xml:space="preserve">OAuth por recebedor; validado com pagamento Pix real (sandbox instavel para esse modelo)</t>
  </si>
  <si>
    <t xml:space="preserve">Sim (alem do MVP)</t>
  </si>
  <si>
    <t xml:space="preserve">Fora do escopo original, adicionado por solicitacao</t>
  </si>
  <si>
    <t xml:space="preserve">Transparencia e autoatendimento de pagamento</t>
  </si>
  <si>
    <t xml:space="preserve">Lembretes via WhatsApp</t>
  </si>
  <si>
    <t xml:space="preserve">Nao</t>
  </si>
  <si>
    <t xml:space="preserve">Decisao tomada (Cron Trigger + WAHA direto, sem n8n); implementacao pendente</t>
  </si>
  <si>
    <t xml:space="preserve">Depois</t>
  </si>
  <si>
    <t xml:space="preserve">Pode ficar para fase posterior</t>
  </si>
  <si>
    <t xml:space="preserve">Fotos da vistoria no PDF do contrato; inquilino reporta ocorrencias com fotos</t>
  </si>
  <si>
    <t xml:space="preserve">Recibo de pagamento (PDF)</t>
  </si>
  <si>
    <t xml:space="preserve">Liberado ao inquilino apos a cobranca ser paga; texto fixo por enquanto</t>
  </si>
  <si>
    <t xml:space="preserve">Sim (opcional)</t>
  </si>
  <si>
    <t xml:space="preserve">Divisao igual entre imoveis selecionados; fatura anexavel; soma automatica na cobranca</t>
  </si>
  <si>
    <t xml:space="preserve">Riscos e Mitigacoes</t>
  </si>
  <si>
    <t xml:space="preserve">Impacto</t>
  </si>
  <si>
    <t xml:space="preserve">Risco</t>
  </si>
  <si>
    <t xml:space="preserve">Efeito possivel</t>
  </si>
  <si>
    <t xml:space="preserve">Mitigacao</t>
  </si>
  <si>
    <t xml:space="preserve">Alto</t>
  </si>
  <si>
    <t xml:space="preserve">Fluxo Pix/Mercado Pago nao validado ponta a ponta</t>
  </si>
  <si>
    <t xml:space="preserve">Falha so seria descoberta em producao, com impacto em recebimento</t>
  </si>
  <si>
    <t xml:space="preserve">Sandbox da MP se mostrou instavel para o modelo marketplace/OAuth (varios erros ao longo do teste). Validado em vez disso com um pagamento Pix real de R$1, confirmando OAuth, criacao de cobranca, webhook (com fallback manual "Verificar pagamento") e recibo de pagamento.</t>
  </si>
  <si>
    <t xml:space="preserve">Mitigado</t>
  </si>
  <si>
    <t xml:space="preserve">Webhook duplicado ou perdido</t>
  </si>
  <si>
    <t xml:space="preserve">Cobranca pode ficar com status incorreto</t>
  </si>
  <si>
    <t xml:space="preserve">Processamento idempotente por external_id ja implementado; manter logs e reprocessamento manual</t>
  </si>
  <si>
    <t xml:space="preserve">Permissoes mal separadas</t>
  </si>
  <si>
    <t xml:space="preserve">Recebedor ou inquilino pode ver dados indevidos</t>
  </si>
  <si>
    <t xml:space="preserve">requireApiUser/requireUser ja aplicados a todas as rotas; manter testes de autorizacao por perfil</t>
  </si>
  <si>
    <t xml:space="preserve">Medio</t>
  </si>
  <si>
    <t xml:space="preserve">Calculo incorreto de juros</t>
  </si>
  <si>
    <t xml:space="preserve">Cobranca indevida ou perda financeira</t>
  </si>
  <si>
    <t xml:space="preserve">Adicionar testes automatizados para multa, juros, carencia e abonos</t>
  </si>
  <si>
    <t xml:space="preserve">Aberto</t>
  </si>
  <si>
    <t xml:space="preserve">Mensagens WhatsApp duplicadas</t>
  </si>
  <si>
    <t xml:space="preserve">Experiencia ruim para o inquilino</t>
  </si>
  <si>
    <t xml:space="preserve">Controlar envio por cobranca, evento e data quando a integracao Cron Trigger + WAHA (sem n8n, decisao de 11/07/2026) for implementada</t>
  </si>
  <si>
    <t xml:space="preserve">Aberto (fase nao iniciada)</t>
  </si>
  <si>
    <t xml:space="preserve">Armazenamento de documentos sensiveis (contratos assinados)</t>
  </si>
  <si>
    <t xml:space="preserve">Risco de LGPD e seguranca</t>
  </si>
  <si>
    <t xml:space="preserve">PDF assinado armazenado no R2 (fora do banco); revisar politica de retencao e controle de acesso</t>
  </si>
  <si>
    <t xml:space="preserve">Mitigado parcialmente</t>
  </si>
  <si>
    <t xml:space="preserve">Ausencia de teste de ponta a ponta ao vivo da aplicacao publicada</t>
  </si>
  <si>
    <t xml:space="preserve">Bugs de integracao podem passar despercebidos</t>
  </si>
  <si>
    <t xml:space="preserve">Realizar bateria de testes manuais (ou via navegador) cobrindo os fluxos criticos antes do lancamento</t>
  </si>
  <si>
    <t xml:space="preserve">Apenas uma transacao Pix real (R$1) foi validada</t>
  </si>
  <si>
    <t xml:space="preserve">Casos de borda (expiracao do QR, estorno, pagamento parcial) ainda nao testados</t>
  </si>
  <si>
    <t xml:space="preserve">Realizar mais alguns testes reais de baixo valor cobrindo expiracao e falha antes do uso pleno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</si>
</sst>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dd/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54823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7365D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E7E6E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7365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55"/>
    <col collapsed="false" customWidth="true" hidden="false" outlineLevel="0" max="13" min="13" style="1" width="30"/>
    <col collapsed="false" customWidth="true" hidden="false" outlineLevel="0" max="21" min="14" style="1" width="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</row>
    <row r="4" customFormat="false" ht="45.75" hidden="false" customHeight="true" outlineLevel="0" collapsed="false">
      <c r="A4" s="4" t="n">
        <v>1</v>
      </c>
      <c r="B4" s="4" t="s">
        <v>21</v>
      </c>
      <c r="C4" s="4" t="s">
        <v>22</v>
      </c>
      <c r="D4" s="5" t="n">
        <v>46201</v>
      </c>
      <c r="E4" s="5" t="n">
        <v>46207</v>
      </c>
      <c r="F4" s="6" t="n">
        <f aca="false">ROUNDUP((E4-D4+1)/7,0)</f>
        <v>1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M4" s="7"/>
      <c r="N4" s="8" t="n">
        <v>46201</v>
      </c>
      <c r="O4" s="8" t="n">
        <v>46208</v>
      </c>
      <c r="P4" s="8" t="n">
        <v>46215</v>
      </c>
      <c r="Q4" s="8" t="n">
        <v>46222</v>
      </c>
      <c r="R4" s="8" t="n">
        <v>46229</v>
      </c>
      <c r="S4" s="8" t="n">
        <v>46236</v>
      </c>
      <c r="T4" s="8" t="n">
        <v>46243</v>
      </c>
      <c r="U4" s="8" t="n">
        <v>46250</v>
      </c>
    </row>
    <row r="5" customFormat="false" ht="45.75" hidden="false" customHeight="true" outlineLevel="0" collapsed="false">
      <c r="A5" s="4" t="n">
        <v>2</v>
      </c>
      <c r="B5" s="4" t="s">
        <v>28</v>
      </c>
      <c r="C5" s="4" t="s">
        <v>29</v>
      </c>
      <c r="D5" s="5" t="n">
        <v>46208</v>
      </c>
      <c r="E5" s="5" t="n">
        <v>46208</v>
      </c>
      <c r="F5" s="6" t="n">
        <f aca="false">ROUNDUP((E5-D5+1)/7,0)</f>
        <v>1</v>
      </c>
      <c r="G5" s="4" t="s">
        <v>23</v>
      </c>
      <c r="H5" s="4" t="s">
        <v>30</v>
      </c>
      <c r="I5" s="4" t="s">
        <v>25</v>
      </c>
      <c r="J5" s="4" t="s">
        <v>31</v>
      </c>
      <c r="K5" s="4" t="s">
        <v>32</v>
      </c>
      <c r="M5" s="1" t="s">
        <v>21</v>
      </c>
      <c r="N5" s="9" t="str">
        <f aca="false">IF(AND(N$4&gt;=$D5,N$4&lt;=$E5),"x","")</f>
        <v/>
      </c>
      <c r="O5" s="9" t="str">
        <f aca="false">IF(AND(O$4&gt;=$D5,O$4&lt;=$E5),"x","")</f>
        <v>x</v>
      </c>
      <c r="P5" s="9" t="str">
        <f aca="false">IF(AND(P$4&gt;=$D5,P$4&lt;=$E5),"x","")</f>
        <v/>
      </c>
      <c r="Q5" s="9" t="str">
        <f aca="false">IF(AND(Q$4&gt;=$D5,Q$4&lt;=$E5),"x","")</f>
        <v/>
      </c>
      <c r="R5" s="9" t="str">
        <f aca="false">IF(AND(R$4&gt;=$D5,R$4&lt;=$E5),"x","")</f>
        <v/>
      </c>
      <c r="S5" s="9" t="str">
        <f aca="false">IF(AND(S$4&gt;=$D5,S$4&lt;=$E5),"x","")</f>
        <v/>
      </c>
      <c r="T5" s="9" t="str">
        <f aca="false">IF(AND(T$4&gt;=$D5,T$4&lt;=$E5),"x","")</f>
        <v/>
      </c>
      <c r="U5" s="9" t="str">
        <f aca="false">IF(AND(U$4&gt;=$D5,U$4&lt;=$E5),"x","")</f>
        <v/>
      </c>
    </row>
    <row r="6" customFormat="false" ht="45.75" hidden="false" customHeight="true" outlineLevel="0" collapsed="false">
      <c r="A6" s="4" t="n">
        <v>3</v>
      </c>
      <c r="B6" s="4" t="s">
        <v>33</v>
      </c>
      <c r="C6" s="4" t="s">
        <v>34</v>
      </c>
      <c r="D6" s="5" t="n">
        <v>46208</v>
      </c>
      <c r="E6" s="5" t="n">
        <v>46208</v>
      </c>
      <c r="F6" s="6" t="n">
        <f aca="false">ROUNDUP((E6-D6+1)/7,0)</f>
        <v>1</v>
      </c>
      <c r="G6" s="4" t="s">
        <v>23</v>
      </c>
      <c r="H6" s="4" t="s">
        <v>30</v>
      </c>
      <c r="I6" s="4" t="s">
        <v>25</v>
      </c>
      <c r="J6" s="4" t="s">
        <v>35</v>
      </c>
      <c r="K6" s="4" t="s">
        <v>36</v>
      </c>
      <c r="M6" s="1" t="s">
        <v>28</v>
      </c>
      <c r="N6" s="9" t="str">
        <f aca="false">IF(AND(N$4&gt;=$D6,N$4&lt;=$E6),"x","")</f>
        <v/>
      </c>
      <c r="O6" s="9" t="str">
        <f aca="false">IF(AND(O$4&gt;=$D6,O$4&lt;=$E6),"x","")</f>
        <v>x</v>
      </c>
      <c r="P6" s="9" t="str">
        <f aca="false">IF(AND(P$4&gt;=$D6,P$4&lt;=$E6),"x","")</f>
        <v/>
      </c>
      <c r="Q6" s="9" t="str">
        <f aca="false">IF(AND(Q$4&gt;=$D6,Q$4&lt;=$E6),"x","")</f>
        <v/>
      </c>
      <c r="R6" s="9" t="str">
        <f aca="false">IF(AND(R$4&gt;=$D6,R$4&lt;=$E6),"x","")</f>
        <v/>
      </c>
      <c r="S6" s="9" t="str">
        <f aca="false">IF(AND(S$4&gt;=$D6,S$4&lt;=$E6),"x","")</f>
        <v/>
      </c>
      <c r="T6" s="9" t="str">
        <f aca="false">IF(AND(T$4&gt;=$D6,T$4&lt;=$E6),"x","")</f>
        <v/>
      </c>
      <c r="U6" s="9" t="str">
        <f aca="false">IF(AND(U$4&gt;=$D6,U$4&lt;=$E6),"x","")</f>
        <v/>
      </c>
    </row>
    <row r="7" customFormat="false" ht="45.75" hidden="false" customHeight="true" outlineLevel="0" collapsed="false">
      <c r="A7" s="4" t="n">
        <v>4</v>
      </c>
      <c r="B7" s="4" t="s">
        <v>37</v>
      </c>
      <c r="C7" s="4" t="s">
        <v>38</v>
      </c>
      <c r="D7" s="5" t="n">
        <v>46208</v>
      </c>
      <c r="E7" s="5" t="n">
        <v>46208</v>
      </c>
      <c r="F7" s="6" t="n">
        <f aca="false">ROUNDUP((E7-D7+1)/7,0)</f>
        <v>1</v>
      </c>
      <c r="G7" s="4" t="s">
        <v>23</v>
      </c>
      <c r="H7" s="4" t="s">
        <v>30</v>
      </c>
      <c r="I7" s="4" t="s">
        <v>25</v>
      </c>
      <c r="J7" s="4" t="s">
        <v>39</v>
      </c>
      <c r="K7" s="4" t="s">
        <v>40</v>
      </c>
      <c r="M7" s="1" t="s">
        <v>33</v>
      </c>
      <c r="N7" s="9" t="str">
        <f aca="false">IF(AND(N$4&gt;=$D7,N$4&lt;=$E7),"x","")</f>
        <v/>
      </c>
      <c r="O7" s="9" t="str">
        <f aca="false">IF(AND(O$4&gt;=$D7,O$4&lt;=$E7),"x","")</f>
        <v>x</v>
      </c>
      <c r="P7" s="9" t="str">
        <f aca="false">IF(AND(P$4&gt;=$D7,P$4&lt;=$E7),"x","")</f>
        <v/>
      </c>
      <c r="Q7" s="9" t="str">
        <f aca="false">IF(AND(Q$4&gt;=$D7,Q$4&lt;=$E7),"x","")</f>
        <v/>
      </c>
      <c r="R7" s="9" t="str">
        <f aca="false">IF(AND(R$4&gt;=$D7,R$4&lt;=$E7),"x","")</f>
        <v/>
      </c>
      <c r="S7" s="9" t="str">
        <f aca="false">IF(AND(S$4&gt;=$D7,S$4&lt;=$E7),"x","")</f>
        <v/>
      </c>
      <c r="T7" s="9" t="str">
        <f aca="false">IF(AND(T$4&gt;=$D7,T$4&lt;=$E7),"x","")</f>
        <v/>
      </c>
      <c r="U7" s="9" t="str">
        <f aca="false">IF(AND(U$4&gt;=$D7,U$4&lt;=$E7),"x","")</f>
        <v/>
      </c>
    </row>
    <row r="8" customFormat="false" ht="45.75" hidden="false" customHeight="true" outlineLevel="0" collapsed="false">
      <c r="A8" s="4" t="n">
        <v>5</v>
      </c>
      <c r="B8" s="4" t="s">
        <v>41</v>
      </c>
      <c r="C8" s="4" t="s">
        <v>42</v>
      </c>
      <c r="D8" s="5" t="n">
        <v>46208</v>
      </c>
      <c r="E8" s="5" t="n">
        <v>46208</v>
      </c>
      <c r="F8" s="6" t="n">
        <f aca="false">ROUNDUP((E8-D8+1)/7,0)</f>
        <v>1</v>
      </c>
      <c r="G8" s="4" t="s">
        <v>23</v>
      </c>
      <c r="H8" s="4" t="s">
        <v>30</v>
      </c>
      <c r="I8" s="4" t="s">
        <v>25</v>
      </c>
      <c r="J8" s="4" t="s">
        <v>43</v>
      </c>
      <c r="K8" s="4" t="s">
        <v>44</v>
      </c>
      <c r="M8" s="1" t="s">
        <v>37</v>
      </c>
      <c r="N8" s="9" t="str">
        <f aca="false">IF(AND(N$4&gt;=$D8,N$4&lt;=$E8),"x","")</f>
        <v/>
      </c>
      <c r="O8" s="9" t="str">
        <f aca="false">IF(AND(O$4&gt;=$D8,O$4&lt;=$E8),"x","")</f>
        <v>x</v>
      </c>
      <c r="P8" s="9" t="str">
        <f aca="false">IF(AND(P$4&gt;=$D8,P$4&lt;=$E8),"x","")</f>
        <v/>
      </c>
      <c r="Q8" s="9" t="str">
        <f aca="false">IF(AND(Q$4&gt;=$D8,Q$4&lt;=$E8),"x","")</f>
        <v/>
      </c>
      <c r="R8" s="9" t="str">
        <f aca="false">IF(AND(R$4&gt;=$D8,R$4&lt;=$E8),"x","")</f>
        <v/>
      </c>
      <c r="S8" s="9" t="str">
        <f aca="false">IF(AND(S$4&gt;=$D8,S$4&lt;=$E8),"x","")</f>
        <v/>
      </c>
      <c r="T8" s="9" t="str">
        <f aca="false">IF(AND(T$4&gt;=$D8,T$4&lt;=$E8),"x","")</f>
        <v/>
      </c>
      <c r="U8" s="9" t="str">
        <f aca="false">IF(AND(U$4&gt;=$D8,U$4&lt;=$E8),"x","")</f>
        <v/>
      </c>
    </row>
    <row r="9" customFormat="false" ht="45.75" hidden="false" customHeight="true" outlineLevel="0" collapsed="false">
      <c r="A9" s="4" t="n">
        <v>6</v>
      </c>
      <c r="B9" s="4" t="s">
        <v>45</v>
      </c>
      <c r="C9" s="4" t="s">
        <v>46</v>
      </c>
      <c r="D9" s="5" t="n">
        <v>46208</v>
      </c>
      <c r="E9" s="5" t="n">
        <v>46208</v>
      </c>
      <c r="F9" s="6" t="n">
        <f aca="false">ROUNDUP((E9-D9+1)/7,0)</f>
        <v>1</v>
      </c>
      <c r="G9" s="4" t="s">
        <v>23</v>
      </c>
      <c r="H9" s="4" t="s">
        <v>30</v>
      </c>
      <c r="I9" s="4" t="s">
        <v>25</v>
      </c>
      <c r="J9" s="4" t="s">
        <v>47</v>
      </c>
      <c r="K9" s="4" t="s">
        <v>48</v>
      </c>
      <c r="M9" s="1" t="s">
        <v>41</v>
      </c>
      <c r="N9" s="9" t="str">
        <f aca="false">IF(AND(N$4&gt;=$D9,N$4&lt;=$E9),"x","")</f>
        <v/>
      </c>
      <c r="O9" s="9" t="str">
        <f aca="false">IF(AND(O$4&gt;=$D9,O$4&lt;=$E9),"x","")</f>
        <v>x</v>
      </c>
      <c r="P9" s="9" t="str">
        <f aca="false">IF(AND(P$4&gt;=$D9,P$4&lt;=$E9),"x","")</f>
        <v/>
      </c>
      <c r="Q9" s="9" t="str">
        <f aca="false">IF(AND(Q$4&gt;=$D9,Q$4&lt;=$E9),"x","")</f>
        <v/>
      </c>
      <c r="R9" s="9" t="str">
        <f aca="false">IF(AND(R$4&gt;=$D9,R$4&lt;=$E9),"x","")</f>
        <v/>
      </c>
      <c r="S9" s="9" t="str">
        <f aca="false">IF(AND(S$4&gt;=$D9,S$4&lt;=$E9),"x","")</f>
        <v/>
      </c>
      <c r="T9" s="9" t="str">
        <f aca="false">IF(AND(T$4&gt;=$D9,T$4&lt;=$E9),"x","")</f>
        <v/>
      </c>
      <c r="U9" s="9" t="str">
        <f aca="false">IF(AND(U$4&gt;=$D9,U$4&lt;=$E9),"x","")</f>
        <v/>
      </c>
    </row>
    <row r="10" customFormat="false" ht="45.75" hidden="false" customHeight="true" outlineLevel="0" collapsed="false">
      <c r="A10" s="4" t="n">
        <v>7</v>
      </c>
      <c r="B10" s="4" t="s">
        <v>49</v>
      </c>
      <c r="C10" s="4" t="s">
        <v>50</v>
      </c>
      <c r="D10" s="5" t="n">
        <v>46208</v>
      </c>
      <c r="E10" s="5" t="n">
        <v>46208</v>
      </c>
      <c r="F10" s="6" t="n">
        <f aca="false">ROUNDUP((E10-D10+1)/7,0)</f>
        <v>1</v>
      </c>
      <c r="G10" s="4" t="s">
        <v>23</v>
      </c>
      <c r="H10" s="4" t="s">
        <v>30</v>
      </c>
      <c r="I10" s="4" t="s">
        <v>25</v>
      </c>
      <c r="J10" s="4" t="s">
        <v>51</v>
      </c>
      <c r="K10" s="4" t="s">
        <v>52</v>
      </c>
      <c r="M10" s="1" t="s">
        <v>45</v>
      </c>
      <c r="N10" s="9" t="str">
        <f aca="false">IF(AND(N$4&gt;=$D10,N$4&lt;=$E10),"x","")</f>
        <v/>
      </c>
      <c r="O10" s="9" t="str">
        <f aca="false">IF(AND(O$4&gt;=$D10,O$4&lt;=$E10),"x","")</f>
        <v>x</v>
      </c>
      <c r="P10" s="9" t="str">
        <f aca="false">IF(AND(P$4&gt;=$D10,P$4&lt;=$E10),"x","")</f>
        <v/>
      </c>
      <c r="Q10" s="9" t="str">
        <f aca="false">IF(AND(Q$4&gt;=$D10,Q$4&lt;=$E10),"x","")</f>
        <v/>
      </c>
      <c r="R10" s="9" t="str">
        <f aca="false">IF(AND(R$4&gt;=$D10,R$4&lt;=$E10),"x","")</f>
        <v/>
      </c>
      <c r="S10" s="9" t="str">
        <f aca="false">IF(AND(S$4&gt;=$D10,S$4&lt;=$E10),"x","")</f>
        <v/>
      </c>
      <c r="T10" s="9" t="str">
        <f aca="false">IF(AND(T$4&gt;=$D10,T$4&lt;=$E10),"x","")</f>
        <v/>
      </c>
      <c r="U10" s="9" t="str">
        <f aca="false">IF(AND(U$4&gt;=$D10,U$4&lt;=$E10),"x","")</f>
        <v/>
      </c>
    </row>
    <row r="11" customFormat="false" ht="45.75" hidden="false" customHeight="true" outlineLevel="0" collapsed="false">
      <c r="A11" s="4" t="n">
        <v>8</v>
      </c>
      <c r="B11" s="4" t="s">
        <v>53</v>
      </c>
      <c r="C11" s="4" t="s">
        <v>54</v>
      </c>
      <c r="D11" s="5" t="n">
        <v>46208</v>
      </c>
      <c r="E11" s="5" t="n">
        <v>46208</v>
      </c>
      <c r="F11" s="6" t="n">
        <f aca="false">ROUNDUP((E11-D11+1)/7,0)</f>
        <v>1</v>
      </c>
      <c r="G11" s="4" t="s">
        <v>55</v>
      </c>
      <c r="H11" s="4" t="s">
        <v>30</v>
      </c>
      <c r="I11" s="4" t="s">
        <v>25</v>
      </c>
      <c r="J11" s="4" t="s">
        <v>56</v>
      </c>
      <c r="K11" s="4" t="s">
        <v>57</v>
      </c>
      <c r="M11" s="1" t="s">
        <v>49</v>
      </c>
      <c r="N11" s="9" t="str">
        <f aca="false">IF(AND(N$4&gt;=$D11,N$4&lt;=$E11),"x","")</f>
        <v/>
      </c>
      <c r="O11" s="9" t="str">
        <f aca="false">IF(AND(O$4&gt;=$D11,O$4&lt;=$E11),"x","")</f>
        <v>x</v>
      </c>
      <c r="P11" s="9" t="str">
        <f aca="false">IF(AND(P$4&gt;=$D11,P$4&lt;=$E11),"x","")</f>
        <v/>
      </c>
      <c r="Q11" s="9" t="str">
        <f aca="false">IF(AND(Q$4&gt;=$D11,Q$4&lt;=$E11),"x","")</f>
        <v/>
      </c>
      <c r="R11" s="9" t="str">
        <f aca="false">IF(AND(R$4&gt;=$D11,R$4&lt;=$E11),"x","")</f>
        <v/>
      </c>
      <c r="S11" s="9" t="str">
        <f aca="false">IF(AND(S$4&gt;=$D11,S$4&lt;=$E11),"x","")</f>
        <v/>
      </c>
      <c r="T11" s="9" t="str">
        <f aca="false">IF(AND(T$4&gt;=$D11,T$4&lt;=$E11),"x","")</f>
        <v/>
      </c>
      <c r="U11" s="9" t="str">
        <f aca="false">IF(AND(U$4&gt;=$D11,U$4&lt;=$E11),"x","")</f>
        <v/>
      </c>
    </row>
    <row r="12" customFormat="false" ht="45.75" hidden="false" customHeight="true" outlineLevel="0" collapsed="false">
      <c r="A12" s="4" t="n">
        <v>9</v>
      </c>
      <c r="B12" s="4" t="s">
        <v>58</v>
      </c>
      <c r="C12" s="4" t="s">
        <v>59</v>
      </c>
      <c r="D12" s="5" t="n">
        <v>46208</v>
      </c>
      <c r="E12" s="5" t="n">
        <v>46208</v>
      </c>
      <c r="F12" s="6" t="n">
        <f aca="false">ROUNDUP((E12-D12+1)/7,0)</f>
        <v>1</v>
      </c>
      <c r="G12" s="4" t="s">
        <v>23</v>
      </c>
      <c r="H12" s="4" t="s">
        <v>30</v>
      </c>
      <c r="I12" s="4" t="s">
        <v>25</v>
      </c>
      <c r="J12" s="4" t="s">
        <v>51</v>
      </c>
      <c r="K12" s="4" t="s">
        <v>60</v>
      </c>
      <c r="M12" s="1" t="s">
        <v>53</v>
      </c>
      <c r="N12" s="9" t="str">
        <f aca="false">IF(AND(N$4&gt;=$D12,N$4&lt;=$E12),"x","")</f>
        <v/>
      </c>
      <c r="O12" s="9" t="str">
        <f aca="false">IF(AND(O$4&gt;=$D12,O$4&lt;=$E12),"x","")</f>
        <v>x</v>
      </c>
      <c r="P12" s="9" t="str">
        <f aca="false">IF(AND(P$4&gt;=$D12,P$4&lt;=$E12),"x","")</f>
        <v/>
      </c>
      <c r="Q12" s="9" t="str">
        <f aca="false">IF(AND(Q$4&gt;=$D12,Q$4&lt;=$E12),"x","")</f>
        <v/>
      </c>
      <c r="R12" s="9" t="str">
        <f aca="false">IF(AND(R$4&gt;=$D12,R$4&lt;=$E12),"x","")</f>
        <v/>
      </c>
      <c r="S12" s="9" t="str">
        <f aca="false">IF(AND(S$4&gt;=$D12,S$4&lt;=$E12),"x","")</f>
        <v/>
      </c>
      <c r="T12" s="9" t="str">
        <f aca="false">IF(AND(T$4&gt;=$D12,T$4&lt;=$E12),"x","")</f>
        <v/>
      </c>
      <c r="U12" s="9" t="str">
        <f aca="false">IF(AND(U$4&gt;=$D12,U$4&lt;=$E12),"x","")</f>
        <v/>
      </c>
    </row>
    <row r="13" customFormat="false" ht="45.75" hidden="false" customHeight="true" outlineLevel="0" collapsed="false">
      <c r="A13" s="4" t="n">
        <v>10</v>
      </c>
      <c r="B13" s="4" t="s">
        <v>61</v>
      </c>
      <c r="C13" s="4" t="s">
        <v>62</v>
      </c>
      <c r="D13" s="5" t="n">
        <v>46208</v>
      </c>
      <c r="E13" s="5" t="n">
        <v>46208</v>
      </c>
      <c r="F13" s="6" t="n">
        <f aca="false">ROUNDUP((E13-D13+1)/7,0)</f>
        <v>1</v>
      </c>
      <c r="G13" s="4" t="s">
        <v>23</v>
      </c>
      <c r="H13" s="4" t="s">
        <v>63</v>
      </c>
      <c r="I13" s="4" t="s">
        <v>25</v>
      </c>
      <c r="J13" s="4" t="s">
        <v>64</v>
      </c>
      <c r="K13" s="4" t="s">
        <v>65</v>
      </c>
      <c r="M13" s="1" t="s">
        <v>58</v>
      </c>
      <c r="N13" s="9" t="str">
        <f aca="false">IF(AND(N$4&gt;=$D13,N$4&lt;=$E13),"x","")</f>
        <v/>
      </c>
      <c r="O13" s="9" t="str">
        <f aca="false">IF(AND(O$4&gt;=$D13,O$4&lt;=$E13),"x","")</f>
        <v>x</v>
      </c>
      <c r="P13" s="9" t="str">
        <f aca="false">IF(AND(P$4&gt;=$D13,P$4&lt;=$E13),"x","")</f>
        <v/>
      </c>
      <c r="Q13" s="9" t="str">
        <f aca="false">IF(AND(Q$4&gt;=$D13,Q$4&lt;=$E13),"x","")</f>
        <v/>
      </c>
      <c r="R13" s="9" t="str">
        <f aca="false">IF(AND(R$4&gt;=$D13,R$4&lt;=$E13),"x","")</f>
        <v/>
      </c>
      <c r="S13" s="9" t="str">
        <f aca="false">IF(AND(S$4&gt;=$D13,S$4&lt;=$E13),"x","")</f>
        <v/>
      </c>
      <c r="T13" s="9" t="str">
        <f aca="false">IF(AND(T$4&gt;=$D13,T$4&lt;=$E13),"x","")</f>
        <v/>
      </c>
      <c r="U13" s="9" t="str">
        <f aca="false">IF(AND(U$4&gt;=$D13,U$4&lt;=$E13),"x","")</f>
        <v/>
      </c>
    </row>
    <row r="14" customFormat="false" ht="45.75" hidden="false" customHeight="true" outlineLevel="0" collapsed="false">
      <c r="A14" s="4" t="n">
        <v>11</v>
      </c>
      <c r="B14" s="4" t="s">
        <v>66</v>
      </c>
      <c r="C14" s="4" t="s">
        <v>67</v>
      </c>
      <c r="D14" s="5" t="n">
        <v>46208</v>
      </c>
      <c r="E14" s="5" t="n">
        <v>46208</v>
      </c>
      <c r="F14" s="6" t="n">
        <f aca="false">ROUNDUP((E14-D14+1)/7,0)</f>
        <v>1</v>
      </c>
      <c r="G14" s="4" t="s">
        <v>23</v>
      </c>
      <c r="H14" s="4" t="s">
        <v>63</v>
      </c>
      <c r="I14" s="4" t="s">
        <v>25</v>
      </c>
      <c r="J14" s="4" t="s">
        <v>68</v>
      </c>
      <c r="K14" s="4" t="s">
        <v>69</v>
      </c>
      <c r="M14" s="1" t="s">
        <v>61</v>
      </c>
      <c r="N14" s="9" t="str">
        <f aca="false">IF(AND(N$4&gt;=$D14,N$4&lt;=$E14),"x","")</f>
        <v/>
      </c>
      <c r="O14" s="9" t="str">
        <f aca="false">IF(AND(O$4&gt;=$D14,O$4&lt;=$E14),"x","")</f>
        <v>x</v>
      </c>
      <c r="P14" s="9" t="str">
        <f aca="false">IF(AND(P$4&gt;=$D14,P$4&lt;=$E14),"x","")</f>
        <v/>
      </c>
      <c r="Q14" s="9" t="str">
        <f aca="false">IF(AND(Q$4&gt;=$D14,Q$4&lt;=$E14),"x","")</f>
        <v/>
      </c>
      <c r="R14" s="9" t="str">
        <f aca="false">IF(AND(R$4&gt;=$D14,R$4&lt;=$E14),"x","")</f>
        <v/>
      </c>
      <c r="S14" s="9" t="str">
        <f aca="false">IF(AND(S$4&gt;=$D14,S$4&lt;=$E14),"x","")</f>
        <v/>
      </c>
      <c r="T14" s="9" t="str">
        <f aca="false">IF(AND(T$4&gt;=$D14,T$4&lt;=$E14),"x","")</f>
        <v/>
      </c>
      <c r="U14" s="9" t="str">
        <f aca="false">IF(AND(U$4&gt;=$D14,U$4&lt;=$E14),"x","")</f>
        <v/>
      </c>
    </row>
    <row r="15" customFormat="false" ht="45.75" hidden="false" customHeight="true" outlineLevel="0" collapsed="false">
      <c r="A15" s="4" t="n">
        <v>12</v>
      </c>
      <c r="B15" s="4" t="s">
        <v>70</v>
      </c>
      <c r="C15" s="4" t="s">
        <v>71</v>
      </c>
      <c r="D15" s="5" t="n">
        <v>46208</v>
      </c>
      <c r="E15" s="5" t="n">
        <v>46208</v>
      </c>
      <c r="F15" s="6" t="n">
        <f aca="false">ROUNDUP((E15-D15+1)/7,0)</f>
        <v>1</v>
      </c>
      <c r="G15" s="4" t="s">
        <v>23</v>
      </c>
      <c r="H15" s="4" t="s">
        <v>30</v>
      </c>
      <c r="I15" s="4" t="s">
        <v>25</v>
      </c>
      <c r="J15" s="4" t="s">
        <v>64</v>
      </c>
      <c r="K15" s="4" t="s">
        <v>72</v>
      </c>
      <c r="M15" s="1" t="s">
        <v>66</v>
      </c>
      <c r="N15" s="9" t="str">
        <f aca="false">IF(AND(N$4&gt;=$D15,N$4&lt;=$E15),"x","")</f>
        <v/>
      </c>
      <c r="O15" s="9" t="str">
        <f aca="false">IF(AND(O$4&gt;=$D15,O$4&lt;=$E15),"x","")</f>
        <v>x</v>
      </c>
      <c r="P15" s="9" t="str">
        <f aca="false">IF(AND(P$4&gt;=$D15,P$4&lt;=$E15),"x","")</f>
        <v/>
      </c>
      <c r="Q15" s="9" t="str">
        <f aca="false">IF(AND(Q$4&gt;=$D15,Q$4&lt;=$E15),"x","")</f>
        <v/>
      </c>
      <c r="R15" s="9" t="str">
        <f aca="false">IF(AND(R$4&gt;=$D15,R$4&lt;=$E15),"x","")</f>
        <v/>
      </c>
      <c r="S15" s="9" t="str">
        <f aca="false">IF(AND(S$4&gt;=$D15,S$4&lt;=$E15),"x","")</f>
        <v/>
      </c>
      <c r="T15" s="9" t="str">
        <f aca="false">IF(AND(T$4&gt;=$D15,T$4&lt;=$E15),"x","")</f>
        <v/>
      </c>
      <c r="U15" s="9" t="str">
        <f aca="false">IF(AND(U$4&gt;=$D15,U$4&lt;=$E15),"x","")</f>
        <v/>
      </c>
    </row>
    <row r="16" customFormat="false" ht="45.75" hidden="false" customHeight="true" outlineLevel="0" collapsed="false">
      <c r="A16" s="4" t="n">
        <v>13</v>
      </c>
      <c r="B16" s="4" t="s">
        <v>73</v>
      </c>
      <c r="C16" s="4" t="s">
        <v>74</v>
      </c>
      <c r="D16" s="5" t="n">
        <v>46208</v>
      </c>
      <c r="E16" s="5" t="n">
        <v>46208</v>
      </c>
      <c r="F16" s="6" t="n">
        <f aca="false">ROUNDUP((E16-D16+1)/7,0)</f>
        <v>1</v>
      </c>
      <c r="G16" s="4" t="s">
        <v>23</v>
      </c>
      <c r="H16" s="4" t="s">
        <v>75</v>
      </c>
      <c r="I16" s="4" t="s">
        <v>25</v>
      </c>
      <c r="J16" s="4" t="s">
        <v>76</v>
      </c>
      <c r="K16" s="4" t="s">
        <v>77</v>
      </c>
      <c r="M16" s="1" t="s">
        <v>70</v>
      </c>
      <c r="N16" s="9" t="str">
        <f aca="false">IF(AND(N$4&gt;=$D16,N$4&lt;=$E16),"x","")</f>
        <v/>
      </c>
      <c r="O16" s="9" t="str">
        <f aca="false">IF(AND(O$4&gt;=$D16,O$4&lt;=$E16),"x","")</f>
        <v>x</v>
      </c>
      <c r="P16" s="9" t="str">
        <f aca="false">IF(AND(P$4&gt;=$D16,P$4&lt;=$E16),"x","")</f>
        <v/>
      </c>
      <c r="Q16" s="9" t="str">
        <f aca="false">IF(AND(Q$4&gt;=$D16,Q$4&lt;=$E16),"x","")</f>
        <v/>
      </c>
      <c r="R16" s="9" t="str">
        <f aca="false">IF(AND(R$4&gt;=$D16,R$4&lt;=$E16),"x","")</f>
        <v/>
      </c>
      <c r="S16" s="9" t="str">
        <f aca="false">IF(AND(S$4&gt;=$D16,S$4&lt;=$E16),"x","")</f>
        <v/>
      </c>
      <c r="T16" s="9" t="str">
        <f aca="false">IF(AND(T$4&gt;=$D16,T$4&lt;=$E16),"x","")</f>
        <v/>
      </c>
      <c r="U16" s="9" t="str">
        <f aca="false">IF(AND(U$4&gt;=$D16,U$4&lt;=$E16),"x","")</f>
        <v/>
      </c>
    </row>
    <row r="17" customFormat="false" ht="45.75" hidden="false" customHeight="true" outlineLevel="0" collapsed="false">
      <c r="A17" s="4" t="n">
        <v>14</v>
      </c>
      <c r="B17" s="4" t="s">
        <v>78</v>
      </c>
      <c r="C17" s="4" t="s">
        <v>79</v>
      </c>
      <c r="D17" s="5" t="n">
        <v>46208</v>
      </c>
      <c r="E17" s="5" t="n">
        <v>46208</v>
      </c>
      <c r="F17" s="6" t="n">
        <f aca="false">ROUNDUP((E17-D17+1)/7,0)</f>
        <v>1</v>
      </c>
      <c r="G17" s="4" t="s">
        <v>55</v>
      </c>
      <c r="H17" s="4" t="s">
        <v>75</v>
      </c>
      <c r="I17" s="4" t="s">
        <v>25</v>
      </c>
      <c r="J17" s="4" t="s">
        <v>43</v>
      </c>
      <c r="K17" s="4" t="s">
        <v>80</v>
      </c>
      <c r="M17" s="1" t="s">
        <v>73</v>
      </c>
      <c r="N17" s="9" t="str">
        <f aca="false">IF(AND(N$4&gt;=$D17,N$4&lt;=$E17),"x","")</f>
        <v/>
      </c>
      <c r="O17" s="9" t="str">
        <f aca="false">IF(AND(O$4&gt;=$D17,O$4&lt;=$E17),"x","")</f>
        <v>x</v>
      </c>
      <c r="P17" s="9" t="str">
        <f aca="false">IF(AND(P$4&gt;=$D17,P$4&lt;=$E17),"x","")</f>
        <v/>
      </c>
      <c r="Q17" s="9" t="str">
        <f aca="false">IF(AND(Q$4&gt;=$D17,Q$4&lt;=$E17),"x","")</f>
        <v/>
      </c>
      <c r="R17" s="9" t="str">
        <f aca="false">IF(AND(R$4&gt;=$D17,R$4&lt;=$E17),"x","")</f>
        <v/>
      </c>
      <c r="S17" s="9" t="str">
        <f aca="false">IF(AND(S$4&gt;=$D17,S$4&lt;=$E17),"x","")</f>
        <v/>
      </c>
      <c r="T17" s="9" t="str">
        <f aca="false">IF(AND(T$4&gt;=$D17,T$4&lt;=$E17),"x","")</f>
        <v/>
      </c>
      <c r="U17" s="9" t="str">
        <f aca="false">IF(AND(U$4&gt;=$D17,U$4&lt;=$E17),"x","")</f>
        <v/>
      </c>
    </row>
    <row r="18" customFormat="false" ht="45.75" hidden="false" customHeight="true" outlineLevel="0" collapsed="false">
      <c r="A18" s="4" t="n">
        <v>15</v>
      </c>
      <c r="B18" s="4" t="s">
        <v>81</v>
      </c>
      <c r="C18" s="4" t="s">
        <v>82</v>
      </c>
      <c r="D18" s="5" t="n">
        <v>46209</v>
      </c>
      <c r="E18" s="5" t="n">
        <v>46215</v>
      </c>
      <c r="F18" s="6" t="n">
        <f aca="false">ROUNDUP((E18-D18+1)/7,0)</f>
        <v>1</v>
      </c>
      <c r="G18" s="4" t="s">
        <v>55</v>
      </c>
      <c r="H18" s="4" t="s">
        <v>83</v>
      </c>
      <c r="I18" s="4" t="s">
        <v>84</v>
      </c>
      <c r="J18" s="4" t="s">
        <v>85</v>
      </c>
      <c r="K18" s="4" t="s">
        <v>86</v>
      </c>
      <c r="M18" s="1" t="s">
        <v>78</v>
      </c>
      <c r="N18" s="9" t="str">
        <f aca="false">IF(AND(N$4&gt;=$D18,N$4&lt;=$E18),"x","")</f>
        <v/>
      </c>
      <c r="O18" s="9" t="str">
        <f aca="false">IF(AND(O$4&gt;=$D18,O$4&lt;=$E18),"x","")</f>
        <v/>
      </c>
      <c r="P18" s="9" t="str">
        <f aca="false">IF(AND(P$4&gt;=$D18,P$4&lt;=$E18),"x","")</f>
        <v>x</v>
      </c>
      <c r="Q18" s="9" t="str">
        <f aca="false">IF(AND(Q$4&gt;=$D18,Q$4&lt;=$E18),"x","")</f>
        <v/>
      </c>
      <c r="R18" s="9" t="str">
        <f aca="false">IF(AND(R$4&gt;=$D18,R$4&lt;=$E18),"x","")</f>
        <v/>
      </c>
      <c r="S18" s="9" t="str">
        <f aca="false">IF(AND(S$4&gt;=$D18,S$4&lt;=$E18),"x","")</f>
        <v/>
      </c>
      <c r="T18" s="9" t="str">
        <f aca="false">IF(AND(T$4&gt;=$D18,T$4&lt;=$E18),"x","")</f>
        <v/>
      </c>
      <c r="U18" s="9" t="str">
        <f aca="false">IF(AND(U$4&gt;=$D18,U$4&lt;=$E18),"x","")</f>
        <v/>
      </c>
    </row>
    <row r="19" customFormat="false" ht="45.75" hidden="false" customHeight="true" outlineLevel="0" collapsed="false">
      <c r="A19" s="4" t="n">
        <v>16</v>
      </c>
      <c r="B19" s="4" t="s">
        <v>87</v>
      </c>
      <c r="C19" s="4" t="s">
        <v>88</v>
      </c>
      <c r="D19" s="5" t="n">
        <v>46216</v>
      </c>
      <c r="E19" s="5" t="n">
        <v>46229</v>
      </c>
      <c r="F19" s="6" t="n">
        <f aca="false">ROUNDUP((E19-D19+1)/7,0)</f>
        <v>2</v>
      </c>
      <c r="G19" s="4" t="s">
        <v>55</v>
      </c>
      <c r="H19" s="4" t="s">
        <v>63</v>
      </c>
      <c r="I19" s="4" t="s">
        <v>89</v>
      </c>
      <c r="J19" s="4" t="s">
        <v>90</v>
      </c>
      <c r="K19" s="4" t="s">
        <v>91</v>
      </c>
      <c r="M19" s="1" t="s">
        <v>81</v>
      </c>
      <c r="N19" s="9" t="str">
        <f aca="false">IF(AND(N$4&gt;=$D19,N$4&lt;=$E19),"x","")</f>
        <v/>
      </c>
      <c r="O19" s="9" t="str">
        <f aca="false">IF(AND(O$4&gt;=$D19,O$4&lt;=$E19),"x","")</f>
        <v/>
      </c>
      <c r="P19" s="9" t="str">
        <f aca="false">IF(AND(P$4&gt;=$D19,P$4&lt;=$E19),"x","")</f>
        <v/>
      </c>
      <c r="Q19" s="9" t="str">
        <f aca="false">IF(AND(Q$4&gt;=$D19,Q$4&lt;=$E19),"x","")</f>
        <v>x</v>
      </c>
      <c r="R19" s="9" t="str">
        <f aca="false">IF(AND(R$4&gt;=$D19,R$4&lt;=$E19),"x","")</f>
        <v>x</v>
      </c>
      <c r="S19" s="9" t="str">
        <f aca="false">IF(AND(S$4&gt;=$D19,S$4&lt;=$E19),"x","")</f>
        <v/>
      </c>
      <c r="T19" s="9" t="str">
        <f aca="false">IF(AND(T$4&gt;=$D19,T$4&lt;=$E19),"x","")</f>
        <v/>
      </c>
      <c r="U19" s="9" t="str">
        <f aca="false">IF(AND(U$4&gt;=$D19,U$4&lt;=$E19),"x","")</f>
        <v/>
      </c>
    </row>
    <row r="20" customFormat="false" ht="45.75" hidden="false" customHeight="true" outlineLevel="0" collapsed="false">
      <c r="A20" s="4" t="n">
        <v>17</v>
      </c>
      <c r="B20" s="4" t="s">
        <v>92</v>
      </c>
      <c r="C20" s="4" t="s">
        <v>93</v>
      </c>
      <c r="D20" s="5" t="n">
        <v>46216</v>
      </c>
      <c r="E20" s="5" t="n">
        <v>46222</v>
      </c>
      <c r="F20" s="6" t="n">
        <f aca="false">ROUNDUP((E20-D20+1)/7,0)</f>
        <v>1</v>
      </c>
      <c r="G20" s="4" t="s">
        <v>55</v>
      </c>
      <c r="H20" s="4" t="s">
        <v>30</v>
      </c>
      <c r="I20" s="4" t="s">
        <v>89</v>
      </c>
      <c r="J20" s="4" t="s">
        <v>94</v>
      </c>
      <c r="K20" s="4" t="s">
        <v>95</v>
      </c>
      <c r="M20" s="1" t="s">
        <v>87</v>
      </c>
      <c r="N20" s="9" t="str">
        <f aca="false">IF(AND(N$4&gt;=$D20,N$4&lt;=$E20),"x","")</f>
        <v/>
      </c>
      <c r="O20" s="9" t="str">
        <f aca="false">IF(AND(O$4&gt;=$D20,O$4&lt;=$E20),"x","")</f>
        <v/>
      </c>
      <c r="P20" s="9" t="str">
        <f aca="false">IF(AND(P$4&gt;=$D20,P$4&lt;=$E20),"x","")</f>
        <v/>
      </c>
      <c r="Q20" s="9" t="str">
        <f aca="false">IF(AND(Q$4&gt;=$D20,Q$4&lt;=$E20),"x","")</f>
        <v>x</v>
      </c>
      <c r="R20" s="9" t="str">
        <f aca="false">IF(AND(R$4&gt;=$D20,R$4&lt;=$E20),"x","")</f>
        <v/>
      </c>
      <c r="S20" s="9" t="str">
        <f aca="false">IF(AND(S$4&gt;=$D20,S$4&lt;=$E20),"x","")</f>
        <v/>
      </c>
      <c r="T20" s="9" t="str">
        <f aca="false">IF(AND(T$4&gt;=$D20,T$4&lt;=$E20),"x","")</f>
        <v/>
      </c>
      <c r="U20" s="9" t="str">
        <f aca="false">IF(AND(U$4&gt;=$D20,U$4&lt;=$E20),"x","")</f>
        <v/>
      </c>
    </row>
    <row r="21" customFormat="false" ht="45.75" hidden="false" customHeight="true" outlineLevel="0" collapsed="false">
      <c r="A21" s="4" t="n">
        <v>18</v>
      </c>
      <c r="B21" s="4" t="s">
        <v>96</v>
      </c>
      <c r="C21" s="4" t="s">
        <v>97</v>
      </c>
      <c r="D21" s="5" t="n">
        <v>46230</v>
      </c>
      <c r="E21" s="5" t="n">
        <v>46243</v>
      </c>
      <c r="F21" s="6" t="n">
        <f aca="false">ROUNDUP((E21-D21+1)/7,0)</f>
        <v>2</v>
      </c>
      <c r="G21" s="4" t="s">
        <v>23</v>
      </c>
      <c r="H21" s="4" t="s">
        <v>98</v>
      </c>
      <c r="I21" s="4" t="s">
        <v>89</v>
      </c>
      <c r="J21" s="4" t="s">
        <v>99</v>
      </c>
      <c r="K21" s="4" t="s">
        <v>100</v>
      </c>
      <c r="M21" s="1" t="s">
        <v>92</v>
      </c>
      <c r="N21" s="9" t="str">
        <f aca="false">IF(AND(N$4&gt;=$D21,N$4&lt;=$E21),"x","")</f>
        <v/>
      </c>
      <c r="O21" s="9" t="str">
        <f aca="false">IF(AND(O$4&gt;=$D21,O$4&lt;=$E21),"x","")</f>
        <v/>
      </c>
      <c r="P21" s="9" t="str">
        <f aca="false">IF(AND(P$4&gt;=$D21,P$4&lt;=$E21),"x","")</f>
        <v/>
      </c>
      <c r="Q21" s="9" t="str">
        <f aca="false">IF(AND(Q$4&gt;=$D21,Q$4&lt;=$E21),"x","")</f>
        <v/>
      </c>
      <c r="R21" s="9" t="str">
        <f aca="false">IF(AND(R$4&gt;=$D21,R$4&lt;=$E21),"x","")</f>
        <v/>
      </c>
      <c r="S21" s="9" t="str">
        <f aca="false">IF(AND(S$4&gt;=$D21,S$4&lt;=$E21),"x","")</f>
        <v>x</v>
      </c>
      <c r="T21" s="9" t="str">
        <f aca="false">IF(AND(T$4&gt;=$D21,T$4&lt;=$E21),"x","")</f>
        <v>x</v>
      </c>
      <c r="U21" s="9" t="str">
        <f aca="false">IF(AND(U$4&gt;=$D21,U$4&lt;=$E21),"x","")</f>
        <v/>
      </c>
    </row>
    <row r="22" customFormat="false" ht="15" hidden="false" customHeight="true" outlineLevel="0" collapsed="false">
      <c r="M22" s="1" t="s">
        <v>96</v>
      </c>
      <c r="N22" s="9" t="str">
        <f aca="false">IF(AND(N$4&gt;=$D22,N$4&lt;=$E22),"x","")</f>
        <v/>
      </c>
      <c r="O22" s="9" t="str">
        <f aca="false">IF(AND(O$4&gt;=$D22,O$4&lt;=$E22),"x","")</f>
        <v/>
      </c>
      <c r="P22" s="9" t="str">
        <f aca="false">IF(AND(P$4&gt;=$D22,P$4&lt;=$E22),"x","")</f>
        <v/>
      </c>
      <c r="Q22" s="9" t="str">
        <f aca="false">IF(AND(Q$4&gt;=$D22,Q$4&lt;=$E22),"x","")</f>
        <v/>
      </c>
      <c r="R22" s="9" t="str">
        <f aca="false">IF(AND(R$4&gt;=$D22,R$4&lt;=$E22),"x","")</f>
        <v/>
      </c>
      <c r="S22" s="9" t="str">
        <f aca="false">IF(AND(S$4&gt;=$D22,S$4&lt;=$E22),"x","")</f>
        <v/>
      </c>
      <c r="T22" s="9" t="str">
        <f aca="false">IF(AND(T$4&gt;=$D22,T$4&lt;=$E22),"x","")</f>
        <v/>
      </c>
      <c r="U22" s="9" t="str">
        <f aca="false">IF(AND(U$4&gt;=$D22,U$4&lt;=$E22),"x","")</f>
        <v/>
      </c>
    </row>
    <row r="23" customFormat="false" ht="45.75" hidden="false" customHeight="true" outlineLevel="0" collapsed="false">
      <c r="A23" s="4" t="n">
        <v>19</v>
      </c>
      <c r="B23" s="4" t="s">
        <v>101</v>
      </c>
      <c r="C23" s="4" t="s">
        <v>102</v>
      </c>
      <c r="D23" s="5" t="n">
        <v>46214</v>
      </c>
      <c r="E23" s="5" t="n">
        <v>46214</v>
      </c>
      <c r="F23" s="6" t="n">
        <v>1</v>
      </c>
      <c r="G23" s="4" t="s">
        <v>55</v>
      </c>
      <c r="H23" s="4" t="s">
        <v>30</v>
      </c>
      <c r="I23" s="4" t="s">
        <v>25</v>
      </c>
      <c r="J23" s="4" t="s">
        <v>56</v>
      </c>
      <c r="K23" s="4" t="s">
        <v>103</v>
      </c>
      <c r="M23" s="1" t="s">
        <v>49</v>
      </c>
      <c r="O23" s="9" t="s">
        <v>104</v>
      </c>
    </row>
    <row r="24" customFormat="false" ht="45.75" hidden="false" customHeight="true" outlineLevel="0" collapsed="false">
      <c r="A24" s="4" t="n">
        <v>20</v>
      </c>
      <c r="B24" s="4" t="s">
        <v>105</v>
      </c>
      <c r="C24" s="4" t="s">
        <v>106</v>
      </c>
      <c r="D24" s="5" t="n">
        <v>46214</v>
      </c>
      <c r="E24" s="5" t="n">
        <v>46214</v>
      </c>
      <c r="F24" s="6" t="n">
        <v>1</v>
      </c>
      <c r="G24" s="4" t="s">
        <v>23</v>
      </c>
      <c r="H24" s="4" t="s">
        <v>63</v>
      </c>
      <c r="I24" s="4" t="s">
        <v>25</v>
      </c>
      <c r="J24" s="4" t="s">
        <v>107</v>
      </c>
      <c r="K24" s="4" t="s">
        <v>108</v>
      </c>
      <c r="M24" s="1" t="s">
        <v>61</v>
      </c>
      <c r="O24" s="9" t="s">
        <v>104</v>
      </c>
    </row>
    <row r="25" customFormat="false" ht="45.75" hidden="false" customHeight="true" outlineLevel="0" collapsed="false">
      <c r="A25" s="4" t="n">
        <v>21</v>
      </c>
      <c r="B25" s="4" t="s">
        <v>109</v>
      </c>
      <c r="C25" s="4" t="s">
        <v>110</v>
      </c>
      <c r="D25" s="5" t="n">
        <v>46214</v>
      </c>
      <c r="E25" s="5" t="n">
        <v>46214</v>
      </c>
      <c r="F25" s="6" t="n">
        <v>1</v>
      </c>
      <c r="G25" s="4" t="s">
        <v>55</v>
      </c>
      <c r="H25" s="4" t="s">
        <v>30</v>
      </c>
      <c r="I25" s="4" t="s">
        <v>25</v>
      </c>
      <c r="J25" s="4" t="s">
        <v>64</v>
      </c>
      <c r="K25" s="4" t="s">
        <v>111</v>
      </c>
      <c r="M25" s="1" t="s">
        <v>58</v>
      </c>
      <c r="O25" s="9" t="s">
        <v>104</v>
      </c>
    </row>
    <row r="26" customFormat="false" ht="45.75" hidden="false" customHeight="true" outlineLevel="0" collapsed="false">
      <c r="A26" s="4" t="n">
        <v>22</v>
      </c>
      <c r="B26" s="4" t="s">
        <v>112</v>
      </c>
      <c r="C26" s="4" t="s">
        <v>113</v>
      </c>
      <c r="D26" s="5" t="n">
        <v>46214</v>
      </c>
      <c r="E26" s="5" t="n">
        <v>46214</v>
      </c>
      <c r="F26" s="6" t="n">
        <v>1</v>
      </c>
      <c r="G26" s="4" t="s">
        <v>55</v>
      </c>
      <c r="H26" s="4" t="s">
        <v>75</v>
      </c>
      <c r="I26" s="4" t="s">
        <v>25</v>
      </c>
      <c r="J26" s="4" t="s">
        <v>114</v>
      </c>
      <c r="K26" s="4" t="s">
        <v>115</v>
      </c>
      <c r="M26" s="1" t="s">
        <v>73</v>
      </c>
      <c r="O26" s="9" t="s">
        <v>104</v>
      </c>
    </row>
    <row r="27" customFormat="false" ht="102.95" hidden="false" customHeight="false" outlineLevel="0" collapsed="false">
      <c r="A27" s="4" t="n">
        <v>23</v>
      </c>
      <c r="B27" s="4" t="s">
        <v>116</v>
      </c>
      <c r="C27" s="4" t="s">
        <v>117</v>
      </c>
      <c r="D27" s="5" t="n">
        <v>46215</v>
      </c>
      <c r="E27" s="5" t="n">
        <v>46215</v>
      </c>
      <c r="F27" s="6" t="n">
        <v>1</v>
      </c>
      <c r="G27" s="4" t="s">
        <v>118</v>
      </c>
      <c r="H27" s="4" t="s">
        <v>75</v>
      </c>
      <c r="I27" s="4" t="s">
        <v>25</v>
      </c>
      <c r="J27" s="4" t="s">
        <v>39</v>
      </c>
      <c r="K27" s="4" t="s">
        <v>119</v>
      </c>
      <c r="P27" s="9" t="s">
        <v>104</v>
      </c>
    </row>
  </sheetData>
  <mergeCells count="1">
    <mergeCell ref="A1:U1"/>
  </mergeCells>
  <dataValidations count="2">
    <dataValidation allowBlank="true" errorStyle="stop" operator="between" showDropDown="false" showErrorMessage="false" showInputMessage="false" sqref="G4:G21" type="list">
      <formula1>"Alta,Media,Baixa"</formula1>
      <formula2>0</formula2>
    </dataValidation>
    <dataValidation allowBlank="true" errorStyle="stop" operator="between" showDropDown="false" showErrorMessage="false" showInputMessage="false" sqref="I4:I21" type="list">
      <formula1>"Nao iniciado,Em andamento,Concluido,Bloqueado"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46"/>
    <col collapsed="false" customWidth="true" hidden="false" outlineLevel="0" max="4" min="4" style="1" width="18"/>
  </cols>
  <sheetData>
    <row r="1" customFormat="false" ht="30" hidden="false" customHeight="true" outlineLevel="0" collapsed="false">
      <c r="A1" s="2" t="s">
        <v>120</v>
      </c>
      <c r="B1" s="2"/>
      <c r="C1" s="2"/>
      <c r="D1" s="2"/>
    </row>
    <row r="3" customFormat="false" ht="15" hidden="false" customHeight="true" outlineLevel="0" collapsed="false">
      <c r="A3" s="3" t="s">
        <v>121</v>
      </c>
      <c r="B3" s="3" t="s">
        <v>122</v>
      </c>
    </row>
    <row r="4" customFormat="false" ht="19.5" hidden="false" customHeight="true" outlineLevel="0" collapsed="false">
      <c r="A4" s="4" t="s">
        <v>123</v>
      </c>
      <c r="B4" s="4" t="n">
        <f aca="false">COUNTA(Cronograma!A4:A27)</f>
        <v>23</v>
      </c>
    </row>
    <row r="5" customFormat="false" ht="19.5" hidden="false" customHeight="true" outlineLevel="0" collapsed="false">
      <c r="A5" s="4" t="s">
        <v>124</v>
      </c>
      <c r="B5" s="4" t="n">
        <f aca="false">COUNTIF(Cronograma!I4:I27,"Concluido")</f>
        <v>19</v>
      </c>
    </row>
    <row r="6" customFormat="false" ht="19.5" hidden="false" customHeight="true" outlineLevel="0" collapsed="false">
      <c r="A6" s="4" t="s">
        <v>125</v>
      </c>
      <c r="B6" s="4" t="n">
        <f aca="false">COUNTIF(Cronograma!I4:I27,"Em andamento")</f>
        <v>1</v>
      </c>
    </row>
    <row r="7" customFormat="false" ht="19.5" hidden="false" customHeight="true" outlineLevel="0" collapsed="false">
      <c r="A7" s="4" t="s">
        <v>126</v>
      </c>
      <c r="B7" s="4" t="n">
        <f aca="false">COUNTIF(Cronograma!I4:I27,"Nao iniciado")</f>
        <v>3</v>
      </c>
    </row>
    <row r="8" customFormat="false" ht="19.5" hidden="false" customHeight="true" outlineLevel="0" collapsed="false">
      <c r="A8" s="4" t="s">
        <v>127</v>
      </c>
      <c r="B8" s="4" t="n">
        <f aca="false">COUNTIF(Cronograma!I4:I27,"Bloqueado")</f>
        <v>0</v>
      </c>
    </row>
    <row r="9" customFormat="false" ht="19.5" hidden="false" customHeight="true" outlineLevel="0" collapsed="false">
      <c r="A9" s="4" t="s">
        <v>128</v>
      </c>
      <c r="B9" s="5" t="n">
        <f aca="false">MAX(Cronograma!E4:E27)</f>
        <v>46243</v>
      </c>
    </row>
    <row r="11" customFormat="false" ht="15" hidden="false" customHeight="true" outlineLevel="0" collapsed="false">
      <c r="A11" s="3" t="s">
        <v>129</v>
      </c>
      <c r="B11" s="3" t="s">
        <v>130</v>
      </c>
      <c r="C11" s="3" t="s">
        <v>131</v>
      </c>
      <c r="D11" s="3" t="s">
        <v>9</v>
      </c>
    </row>
    <row r="12" customFormat="false" ht="31.5" hidden="false" customHeight="true" outlineLevel="0" collapsed="false">
      <c r="A12" s="4" t="s">
        <v>132</v>
      </c>
      <c r="B12" s="4" t="s">
        <v>133</v>
      </c>
      <c r="C12" s="4" t="s">
        <v>68</v>
      </c>
      <c r="D12" s="4" t="s">
        <v>134</v>
      </c>
    </row>
    <row r="13" customFormat="false" ht="31.5" hidden="false" customHeight="true" outlineLevel="0" collapsed="false">
      <c r="A13" s="4" t="s">
        <v>135</v>
      </c>
      <c r="B13" s="4" t="s">
        <v>136</v>
      </c>
      <c r="C13" s="4" t="s">
        <v>35</v>
      </c>
      <c r="D13" s="4" t="s">
        <v>137</v>
      </c>
    </row>
    <row r="14" customFormat="false" ht="31.5" hidden="false" customHeight="true" outlineLevel="0" collapsed="false">
      <c r="A14" s="4" t="s">
        <v>138</v>
      </c>
      <c r="B14" s="4" t="s">
        <v>139</v>
      </c>
      <c r="C14" s="4" t="s">
        <v>140</v>
      </c>
      <c r="D14" s="4" t="s">
        <v>141</v>
      </c>
    </row>
    <row r="15" customFormat="false" ht="31.5" hidden="false" customHeight="true" outlineLevel="0" collapsed="false">
      <c r="A15" s="4" t="s">
        <v>142</v>
      </c>
      <c r="B15" s="4" t="s">
        <v>143</v>
      </c>
      <c r="C15" s="4" t="s">
        <v>144</v>
      </c>
      <c r="D15" s="4" t="s">
        <v>145</v>
      </c>
    </row>
    <row r="16" customFormat="false" ht="31.5" hidden="false" customHeight="true" outlineLevel="0" collapsed="false">
      <c r="A16" s="4" t="s">
        <v>146</v>
      </c>
      <c r="B16" s="4" t="s">
        <v>147</v>
      </c>
      <c r="C16" s="4" t="s">
        <v>148</v>
      </c>
      <c r="D16" s="4" t="s">
        <v>149</v>
      </c>
    </row>
    <row r="18" customFormat="false" ht="15" hidden="false" customHeight="true" outlineLevel="0" collapsed="false">
      <c r="A18" s="3" t="s">
        <v>150</v>
      </c>
      <c r="B18" s="3" t="s">
        <v>151</v>
      </c>
      <c r="C18" s="3" t="s">
        <v>152</v>
      </c>
      <c r="D18" s="3" t="s">
        <v>7</v>
      </c>
    </row>
    <row r="19" customFormat="false" ht="27.75" hidden="false" customHeight="true" outlineLevel="0" collapsed="false">
      <c r="A19" s="4" t="s">
        <v>153</v>
      </c>
      <c r="B19" s="4" t="s">
        <v>154</v>
      </c>
      <c r="C19" s="4" t="s">
        <v>155</v>
      </c>
      <c r="D19" s="4" t="s">
        <v>23</v>
      </c>
    </row>
    <row r="20" customFormat="false" ht="27.75" hidden="false" customHeight="true" outlineLevel="0" collapsed="false">
      <c r="A20" s="4" t="s">
        <v>156</v>
      </c>
      <c r="B20" s="4" t="s">
        <v>154</v>
      </c>
      <c r="C20" s="4" t="s">
        <v>157</v>
      </c>
      <c r="D20" s="4" t="s">
        <v>23</v>
      </c>
    </row>
    <row r="21" customFormat="false" ht="27.75" hidden="false" customHeight="true" outlineLevel="0" collapsed="false">
      <c r="A21" s="4" t="s">
        <v>158</v>
      </c>
      <c r="B21" s="4" t="s">
        <v>154</v>
      </c>
      <c r="C21" s="4" t="s">
        <v>159</v>
      </c>
      <c r="D21" s="4" t="s">
        <v>23</v>
      </c>
    </row>
    <row r="22" customFormat="false" ht="27.75" hidden="false" customHeight="true" outlineLevel="0" collapsed="false">
      <c r="A22" s="4" t="s">
        <v>61</v>
      </c>
      <c r="B22" s="4" t="s">
        <v>154</v>
      </c>
      <c r="C22" s="4" t="s">
        <v>160</v>
      </c>
      <c r="D22" s="4" t="s">
        <v>23</v>
      </c>
    </row>
    <row r="23" customFormat="false" ht="27.75" hidden="false" customHeight="true" outlineLevel="0" collapsed="false">
      <c r="A23" s="4" t="s">
        <v>49</v>
      </c>
      <c r="B23" s="4" t="s">
        <v>161</v>
      </c>
      <c r="C23" s="4" t="s">
        <v>162</v>
      </c>
      <c r="D23" s="4" t="s">
        <v>23</v>
      </c>
    </row>
    <row r="24" customFormat="false" ht="27.75" hidden="false" customHeight="true" outlineLevel="0" collapsed="false">
      <c r="A24" s="4" t="s">
        <v>73</v>
      </c>
      <c r="B24" s="4" t="s">
        <v>154</v>
      </c>
      <c r="C24" s="4" t="s">
        <v>163</v>
      </c>
      <c r="D24" s="4" t="s">
        <v>23</v>
      </c>
    </row>
    <row r="25" customFormat="false" ht="27.75" hidden="false" customHeight="true" outlineLevel="0" collapsed="false">
      <c r="A25" s="4" t="s">
        <v>164</v>
      </c>
      <c r="B25" s="4" t="s">
        <v>165</v>
      </c>
      <c r="C25" s="4" t="s">
        <v>166</v>
      </c>
      <c r="D25" s="4" t="s">
        <v>55</v>
      </c>
    </row>
    <row r="26" customFormat="false" ht="27.75" hidden="false" customHeight="true" outlineLevel="0" collapsed="false">
      <c r="A26" s="4" t="s">
        <v>146</v>
      </c>
      <c r="B26" s="4" t="s">
        <v>167</v>
      </c>
      <c r="C26" s="4" t="s">
        <v>168</v>
      </c>
      <c r="D26" s="4" t="s">
        <v>55</v>
      </c>
    </row>
    <row r="27" customFormat="false" ht="26.25" hidden="false" customHeight="true" outlineLevel="0" collapsed="false">
      <c r="A27" s="4" t="s">
        <v>101</v>
      </c>
      <c r="B27" s="4" t="s">
        <v>161</v>
      </c>
      <c r="C27" s="4" t="s">
        <v>169</v>
      </c>
      <c r="D27" s="4" t="s">
        <v>55</v>
      </c>
    </row>
    <row r="28" customFormat="false" ht="26.25" hidden="false" customHeight="true" outlineLevel="0" collapsed="false">
      <c r="A28" s="4" t="s">
        <v>170</v>
      </c>
      <c r="B28" s="4" t="s">
        <v>154</v>
      </c>
      <c r="C28" s="4" t="s">
        <v>171</v>
      </c>
      <c r="D28" s="4" t="s">
        <v>55</v>
      </c>
    </row>
    <row r="29" customFormat="false" ht="26.25" hidden="false" customHeight="true" outlineLevel="0" collapsed="false">
      <c r="A29" s="4" t="s">
        <v>109</v>
      </c>
      <c r="B29" s="4" t="s">
        <v>172</v>
      </c>
      <c r="C29" s="4" t="s">
        <v>173</v>
      </c>
      <c r="D29" s="4" t="s">
        <v>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3" min="3" style="1" width="42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30" hidden="false" customHeight="true" outlineLevel="0" collapsed="false">
      <c r="A1" s="2" t="s">
        <v>174</v>
      </c>
      <c r="B1" s="2"/>
      <c r="C1" s="2"/>
      <c r="D1" s="2"/>
      <c r="E1" s="2"/>
    </row>
    <row r="3" customFormat="false" ht="15" hidden="false" customHeight="true" outlineLevel="0" collapsed="false">
      <c r="A3" s="3" t="s">
        <v>175</v>
      </c>
      <c r="B3" s="3" t="s">
        <v>176</v>
      </c>
      <c r="C3" s="3" t="s">
        <v>177</v>
      </c>
      <c r="D3" s="3" t="s">
        <v>178</v>
      </c>
      <c r="E3" s="3" t="s">
        <v>9</v>
      </c>
    </row>
    <row r="4" customFormat="false" ht="42" hidden="false" customHeight="true" outlineLevel="0" collapsed="false">
      <c r="A4" s="4" t="s">
        <v>179</v>
      </c>
      <c r="B4" s="4" t="s">
        <v>180</v>
      </c>
      <c r="C4" s="4" t="s">
        <v>181</v>
      </c>
      <c r="D4" s="4" t="s">
        <v>182</v>
      </c>
      <c r="E4" s="4" t="s">
        <v>183</v>
      </c>
    </row>
    <row r="5" customFormat="false" ht="42" hidden="false" customHeight="true" outlineLevel="0" collapsed="false">
      <c r="A5" s="4" t="s">
        <v>179</v>
      </c>
      <c r="B5" s="4" t="s">
        <v>184</v>
      </c>
      <c r="C5" s="4" t="s">
        <v>185</v>
      </c>
      <c r="D5" s="4" t="s">
        <v>186</v>
      </c>
      <c r="E5" s="4" t="s">
        <v>183</v>
      </c>
    </row>
    <row r="6" customFormat="false" ht="42" hidden="false" customHeight="true" outlineLevel="0" collapsed="false">
      <c r="A6" s="4" t="s">
        <v>179</v>
      </c>
      <c r="B6" s="4" t="s">
        <v>187</v>
      </c>
      <c r="C6" s="4" t="s">
        <v>188</v>
      </c>
      <c r="D6" s="4" t="s">
        <v>189</v>
      </c>
      <c r="E6" s="4" t="s">
        <v>183</v>
      </c>
    </row>
    <row r="7" customFormat="false" ht="42" hidden="false" customHeight="true" outlineLevel="0" collapsed="false">
      <c r="A7" s="4" t="s">
        <v>190</v>
      </c>
      <c r="B7" s="4" t="s">
        <v>191</v>
      </c>
      <c r="C7" s="4" t="s">
        <v>192</v>
      </c>
      <c r="D7" s="4" t="s">
        <v>193</v>
      </c>
      <c r="E7" s="4" t="s">
        <v>194</v>
      </c>
    </row>
    <row r="8" customFormat="false" ht="42" hidden="false" customHeight="true" outlineLevel="0" collapsed="false">
      <c r="A8" s="4" t="s">
        <v>190</v>
      </c>
      <c r="B8" s="4" t="s">
        <v>195</v>
      </c>
      <c r="C8" s="4" t="s">
        <v>196</v>
      </c>
      <c r="D8" s="4" t="s">
        <v>197</v>
      </c>
      <c r="E8" s="4" t="s">
        <v>198</v>
      </c>
    </row>
    <row r="9" customFormat="false" ht="42" hidden="false" customHeight="true" outlineLevel="0" collapsed="false">
      <c r="A9" s="4" t="s">
        <v>190</v>
      </c>
      <c r="B9" s="4" t="s">
        <v>199</v>
      </c>
      <c r="C9" s="4" t="s">
        <v>200</v>
      </c>
      <c r="D9" s="4" t="s">
        <v>201</v>
      </c>
      <c r="E9" s="4" t="s">
        <v>202</v>
      </c>
    </row>
    <row r="10" customFormat="false" ht="42" hidden="false" customHeight="true" outlineLevel="0" collapsed="false">
      <c r="A10" s="4" t="s">
        <v>190</v>
      </c>
      <c r="B10" s="4" t="s">
        <v>203</v>
      </c>
      <c r="C10" s="4" t="s">
        <v>204</v>
      </c>
      <c r="D10" s="4" t="s">
        <v>205</v>
      </c>
      <c r="E10" s="4" t="s">
        <v>194</v>
      </c>
    </row>
    <row r="11" customFormat="false" ht="26.25" hidden="false" customHeight="true" outlineLevel="0" collapsed="false">
      <c r="A11" s="4" t="s">
        <v>190</v>
      </c>
      <c r="B11" s="4" t="s">
        <v>206</v>
      </c>
      <c r="C11" s="4" t="s">
        <v>207</v>
      </c>
      <c r="D11" s="4" t="s">
        <v>208</v>
      </c>
      <c r="E11" s="4" t="s">
        <v>194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A4:A10" type="list">
      <formula1>"Alto,Medio,Baixo"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2026-07-06T00:11:53Z</dcterms:created>
  <dc:creator>openpyxl</dc:creator>
  <dc:description/>
  <dc:language>en-US</dc:language>
  <cp:lastModifiedBy/>
  <dcterms:modified xsi:type="dcterms:W3CDTF">2026-07-12T11:37:05Z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